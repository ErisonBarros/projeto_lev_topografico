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_geral" sheetId="1" state="visible" r:id="rId1"/>
    <sheet xmlns:r="http://schemas.openxmlformats.org/officeDocument/2006/relationships" name="Dados_Eixo" sheetId="2" state="visible" r:id="rId2"/>
    <sheet xmlns:r="http://schemas.openxmlformats.org/officeDocument/2006/relationships" name="Pontos_PE3D" sheetId="3" state="visible" r:id="rId3"/>
    <sheet xmlns:r="http://schemas.openxmlformats.org/officeDocument/2006/relationships" name="Roteiro_Perimetrico" sheetId="4" state="visible" r:id="rId4"/>
    <sheet xmlns:r="http://schemas.openxmlformats.org/officeDocument/2006/relationships" name="Estaqueamento_20m" sheetId="5" state="visible" r:id="rId5"/>
    <sheet xmlns:r="http://schemas.openxmlformats.org/officeDocument/2006/relationships" name="Secoes_500m" sheetId="6" state="visible" r:id="rId6"/>
    <sheet xmlns:r="http://schemas.openxmlformats.org/officeDocument/2006/relationships" name="Comparacao_Cotas" sheetId="7" state="visible" r:id="rId7"/>
  </sheets>
  <definedNames>
    <definedName name="_xlnm._FilterDatabase" localSheetId="1" hidden="1">'Dados_Eixo'!$B$6:$G$92</definedName>
    <definedName name="_xlnm._FilterDatabase" localSheetId="2" hidden="1">'Pontos_PE3D'!$B$6:$L$84</definedName>
    <definedName name="_xlnm._FilterDatabase" localSheetId="3" hidden="1">'Roteiro_Perimetrico'!$B$6:$J$91</definedName>
    <definedName name="_xlnm._FilterDatabase" localSheetId="4" hidden="1">'Estaqueamento_20m'!$B$6:$G$92</definedName>
    <definedName name="_xlnm._FilterDatabase" localSheetId="5" hidden="1">'Secoes_500m'!$B$6:$J$17</definedName>
    <definedName name="_xlnm._FilterDatabase" localSheetId="6" hidden="1">'Comparacao_Cotas'!$B$6:$H$84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12">
    <font>
      <name val="Calibri"/>
      <family val="2"/>
      <color theme="1"/>
      <sz val="11"/>
      <scheme val="minor"/>
    </font>
    <font>
      <name val="Aptos Display"/>
      <b val="1"/>
      <color rgb="000B1F3A"/>
      <sz val="18"/>
    </font>
    <font>
      <name val="Aptos"/>
      <i val="1"/>
      <color rgb="00475569"/>
      <sz val="10"/>
    </font>
    <font>
      <b val="1"/>
      <color rgb="00D6A944"/>
      <sz val="12"/>
    </font>
    <font>
      <color rgb="000B1F3A"/>
      <sz val="11"/>
    </font>
    <font>
      <b val="1"/>
      <color rgb="000B1F3A"/>
    </font>
    <font>
      <color rgb="000B1F3A"/>
    </font>
    <font>
      <name val="Aptos"/>
      <color rgb="00007C83"/>
      <sz val="10"/>
      <u val="single"/>
    </font>
    <font>
      <color rgb="00475569"/>
    </font>
    <font>
      <b val="1"/>
      <color rgb="00FFFFFF"/>
    </font>
    <font>
      <name val="Aptos"/>
      <b val="1"/>
      <color rgb="00FFFFFF"/>
      <sz val="10"/>
    </font>
    <font>
      <name val="Aptos"/>
      <color rgb="000B1F3A"/>
      <sz val="10"/>
    </font>
  </fonts>
  <fills count="10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D6A944"/>
      </patternFill>
    </fill>
    <fill>
      <patternFill patternType="solid">
        <fgColor rgb="00FFF8E7"/>
      </patternFill>
    </fill>
    <fill>
      <patternFill patternType="solid">
        <fgColor rgb="00007C83"/>
      </patternFill>
    </fill>
    <fill>
      <patternFill patternType="solid">
        <fgColor rgb="00F8FAF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medium">
        <color rgb="000B1F3A"/>
      </top>
      <bottom style="medium">
        <color rgb="000B1F3A"/>
      </bottom>
    </border>
    <border>
      <left style="thin">
        <color rgb="00B8C2CC"/>
      </left>
      <right style="thin">
        <color rgb="00B8C2CC"/>
      </right>
      <bottom style="thin">
        <color rgb="00B8C2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164" fontId="6" fillId="3" borderId="0" pivotButton="0" quotePrefix="0" xfId="0"/>
    <xf numFmtId="0" fontId="5" fillId="4" borderId="0" pivotButton="0" quotePrefix="0" xfId="0"/>
    <xf numFmtId="164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0" fillId="6" borderId="0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3" fontId="11" fillId="8" borderId="2" applyAlignment="1" pivotButton="0" quotePrefix="0" xfId="0">
      <alignment vertical="center"/>
    </xf>
    <xf numFmtId="164" fontId="11" fillId="8" borderId="2" applyAlignment="1" pivotButton="0" quotePrefix="0" xfId="0">
      <alignment vertical="center"/>
    </xf>
    <xf numFmtId="0" fontId="11" fillId="8" borderId="2" applyAlignment="1" pivotButton="0" quotePrefix="0" xfId="0">
      <alignment vertical="center"/>
    </xf>
    <xf numFmtId="3" fontId="11" fillId="4" borderId="2" applyAlignment="1" pivotButton="0" quotePrefix="0" xfId="0">
      <alignment vertical="center"/>
    </xf>
    <xf numFmtId="164" fontId="11" fillId="4" borderId="2" applyAlignment="1" pivotButton="0" quotePrefix="0" xfId="0">
      <alignment vertical="center"/>
    </xf>
    <xf numFmtId="0" fontId="11" fillId="4" borderId="2" applyAlignment="1" pivotButton="0" quotePrefix="0" xfId="0">
      <alignment vertical="center"/>
    </xf>
    <xf numFmtId="165" fontId="11" fillId="8" borderId="2" applyAlignment="1" pivotButton="0" quotePrefix="0" xfId="0">
      <alignment vertical="center"/>
    </xf>
    <xf numFmtId="165" fontId="11" fillId="4" borderId="2" applyAlignment="1" pivotButton="0" quotePrefix="0" xfId="0">
      <alignment vertical="center"/>
    </xf>
    <xf numFmtId="164" fontId="11" fillId="9" borderId="2" applyAlignment="1" pivotButton="0" quotePrefix="0" xfId="0">
      <alignment vertical="center"/>
    </xf>
    <xf numFmtId="4" fontId="11" fillId="8" borderId="2" applyAlignment="1" pivotButton="0" quotePrefix="0" xfId="0">
      <alignment vertical="center"/>
    </xf>
    <xf numFmtId="4" fontId="11" fillId="4" borderId="2" applyAlignment="1" pivotButton="0" quotePrefix="0" xfId="0">
      <alignment vertical="center"/>
    </xf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longitudinal preliminar</a:t>
            </a:r>
          </a:p>
        </rich>
      </tx>
    </title>
    <plotArea>
      <lineChart>
        <grouping val="standard"/>
        <ser>
          <idx val="0"/>
          <order val="0"/>
          <tx>
            <strRef>
              <f>'Estaqueamento_20m'!F5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'Estaqueamento_20m'!$C$6:$C$92</f>
            </numRef>
          </cat>
          <val>
            <numRef>
              <f>'Estaqueamento_20m'!$F$6:$F$92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Estação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Cota (m)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dos_Eixo'!A1" TargetMode="External" Id="rId1"/><Relationship Type="http://schemas.openxmlformats.org/officeDocument/2006/relationships/hyperlink" Target="#'Pontos_PE3D'!A1" TargetMode="External" Id="rId2"/><Relationship Type="http://schemas.openxmlformats.org/officeDocument/2006/relationships/hyperlink" Target="#'Roteiro_Perimetrico'!A1" TargetMode="External" Id="rId3"/><Relationship Type="http://schemas.openxmlformats.org/officeDocument/2006/relationships/hyperlink" Target="#'Estaqueamento_20m'!A1" TargetMode="External" Id="rId4"/><Relationship Type="http://schemas.openxmlformats.org/officeDocument/2006/relationships/hyperlink" Target="#'Secoes_500m'!A1" TargetMode="External" Id="rId5"/><Relationship Type="http://schemas.openxmlformats.org/officeDocument/2006/relationships/hyperlink" Target="#'Comparacao_Cotas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7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2" ht="28" customHeight="1">
      <c r="B2" s="1" t="inlineStr">
        <is>
          <t>Exercício de Perfis Topográficos — Estaqueamento e PE3D</t>
        </is>
      </c>
    </row>
    <row r="3" ht="30" customHeight="1">
      <c r="B3" s="2" t="inlineStr">
        <is>
          <t>Base: pontos.txt fornecido pelo professor. A planilha organiza o eixo, o roteiro perimétrico, o estaqueamento, as seções transversais e a comparação de cotas.</t>
        </is>
      </c>
    </row>
    <row r="5">
      <c r="B5" s="3" t="inlineStr">
        <is>
          <t>OBJETIVO DO ARQUIVO</t>
        </is>
      </c>
    </row>
    <row r="6">
      <c r="B6" s="4" t="inlineStr">
        <is>
          <t>Usar os pontos fornecidos para gerar, no CAD e no QGIS, um perfil longitudinal com estaqueamento de 20 em 20 metros e seções transversais a cada 500 m, com 10 m para cada lado. As cotas das seções transversais devem ser extraídas do PE3D e preenchidas na aba correspondente.</t>
        </is>
      </c>
    </row>
    <row r="7"/>
    <row r="9">
      <c r="B9" s="3" t="inlineStr">
        <is>
          <t>RESUMO DA BASE</t>
        </is>
      </c>
    </row>
    <row r="10">
      <c r="B10" s="5" t="inlineStr">
        <is>
          <t>Pontos do eixo fornecidos</t>
        </is>
      </c>
      <c r="C10" s="6" t="n">
        <v>87</v>
      </c>
    </row>
    <row r="11">
      <c r="B11" s="7" t="inlineStr">
        <is>
          <t>Extensão acumulada do eixo (m)</t>
        </is>
      </c>
      <c r="C11" s="8" t="n">
        <v>1717.817013745429</v>
      </c>
    </row>
    <row r="12">
      <c r="B12" s="5" t="inlineStr">
        <is>
          <t>Pontos coletados/PE3D no arquivo</t>
        </is>
      </c>
      <c r="C12" s="6" t="n">
        <v>79</v>
      </c>
    </row>
    <row r="13">
      <c r="B13" s="7" t="inlineStr">
        <is>
          <t>Translação inicial X (m)</t>
        </is>
      </c>
      <c r="C13" s="8" t="n">
        <v>250587.0333</v>
      </c>
    </row>
    <row r="14">
      <c r="B14" s="5" t="inlineStr">
        <is>
          <t>Translação inicial Y (m)</t>
        </is>
      </c>
      <c r="C14" s="6" t="n">
        <v>9133530.0858</v>
      </c>
    </row>
    <row r="15">
      <c r="B15" s="7" t="inlineStr">
        <is>
          <t>Resíduo XY máximo do pareamento (m)</t>
        </is>
      </c>
      <c r="C15" s="8" t="n">
        <v>0.0008602330953507692</v>
      </c>
    </row>
    <row r="16">
      <c r="B16" s="5" t="inlineStr">
        <is>
          <t>Diferença Z média PE3D - fornecida (m)</t>
        </is>
      </c>
      <c r="C16" s="6" t="n">
        <v>-8.227848101251144e-05</v>
      </c>
    </row>
    <row r="19">
      <c r="B19" s="3" t="inlineStr">
        <is>
          <t>ABAS</t>
        </is>
      </c>
    </row>
    <row r="20">
      <c r="B20" s="9" t="inlineStr">
        <is>
          <t>Dados_Eixo</t>
        </is>
      </c>
      <c r="C20" s="10" t="inlineStr">
        <is>
          <t>Eixo fornecido e estação acumulada</t>
        </is>
      </c>
    </row>
    <row r="21">
      <c r="B21" s="9" t="inlineStr">
        <is>
          <t>Pontos_PE3D</t>
        </is>
      </c>
      <c r="C21" s="10" t="inlineStr">
        <is>
          <t>Pontos coletados/PE3D e pareamento inicial</t>
        </is>
      </c>
    </row>
    <row r="22">
      <c r="B22" s="9" t="inlineStr">
        <is>
          <t>Roteiro_Perimetrico</t>
        </is>
      </c>
      <c r="C22" s="10" t="inlineStr">
        <is>
          <t>Azimute, distância, cotas e declividade</t>
        </is>
      </c>
    </row>
    <row r="23">
      <c r="B23" s="9" t="inlineStr">
        <is>
          <t>Estaqueamento_20m</t>
        </is>
      </c>
      <c r="C23" s="10" t="inlineStr">
        <is>
          <t>Estações a cada 20 m e cotas interpoladas</t>
        </is>
      </c>
    </row>
    <row r="24">
      <c r="B24" s="9" t="inlineStr">
        <is>
          <t>Secoes_500m</t>
        </is>
      </c>
      <c r="C24" s="10" t="inlineStr">
        <is>
          <t>Alvos de ±10 m para extração no PE3D</t>
        </is>
      </c>
    </row>
    <row r="25">
      <c r="B25" s="9" t="inlineStr">
        <is>
          <t>Comparacao_Cotas</t>
        </is>
      </c>
      <c r="C25" s="10" t="inlineStr">
        <is>
          <t>Diferença de cota entre conjuntos</t>
        </is>
      </c>
    </row>
    <row r="29">
      <c r="B29" s="11" t="inlineStr">
        <is>
          <t>Premissa crítica</t>
        </is>
      </c>
    </row>
    <row r="30">
      <c r="B30" s="12" t="inlineStr">
        <is>
          <t>Os registros 1–87 formam o eixo em coordenadas grandes. Os registros 88–166 estão em coordenadas locais e foram pareados preliminarmente por uma translação ancorada no ponto 1 ↔ ponto 151. O grupo deve confirmar essa hipótese no QGIS antes de aceitar a comparação de cotas.</t>
        </is>
      </c>
    </row>
    <row r="31"/>
  </sheetData>
  <mergeCells count="4">
    <mergeCell ref="B3:H3"/>
    <mergeCell ref="B6:H7"/>
    <mergeCell ref="B2:H2"/>
    <mergeCell ref="B30:H31"/>
  </mergeCells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</hyperlink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92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8" customWidth="1" min="4" max="4"/>
    <col width="14" customWidth="1" min="5" max="5"/>
    <col width="16" customWidth="1" min="6" max="6"/>
    <col width="18" customWidth="1" min="7" max="7"/>
  </cols>
  <sheetData>
    <row r="2" ht="28" customHeight="1">
      <c r="B2" s="1" t="inlineStr">
        <is>
          <t>Dados do eixo fornecido</t>
        </is>
      </c>
    </row>
    <row r="3" ht="30" customHeight="1">
      <c r="B3" s="2" t="inlineStr">
        <is>
          <t>Sequência dos pontos 1–87. A estação acumulada é calculada pela distância plana entre pontos consecutivos.</t>
        </is>
      </c>
    </row>
    <row r="5" ht="30" customHeight="1">
      <c r="B5" s="13" t="inlineStr">
        <is>
          <t>ID</t>
        </is>
      </c>
      <c r="C5" s="13" t="inlineStr">
        <is>
          <t>X (m)</t>
        </is>
      </c>
      <c r="D5" s="13" t="inlineStr">
        <is>
          <t>Y (m)</t>
        </is>
      </c>
      <c r="E5" s="13" t="inlineStr">
        <is>
          <t>Z (m)</t>
        </is>
      </c>
      <c r="F5" s="13" t="inlineStr">
        <is>
          <t>Estação acumulada (m)</t>
        </is>
      </c>
      <c r="G5" s="13" t="inlineStr">
        <is>
          <t>Fonte</t>
        </is>
      </c>
    </row>
    <row r="6">
      <c r="B6" s="14" t="n">
        <v>1</v>
      </c>
      <c r="C6" s="15" t="n">
        <v>250844.876</v>
      </c>
      <c r="D6" s="15" t="n">
        <v>9133802.672</v>
      </c>
      <c r="E6" s="15" t="n">
        <v>157.65</v>
      </c>
      <c r="F6" s="15" t="n">
        <v>0</v>
      </c>
      <c r="G6" s="16" t="inlineStr">
        <is>
          <t>pontos.txt — eixo fornecido</t>
        </is>
      </c>
    </row>
    <row r="7">
      <c r="B7" s="17" t="n">
        <v>2</v>
      </c>
      <c r="C7" s="18" t="n">
        <v>250855.865</v>
      </c>
      <c r="D7" s="18" t="n">
        <v>9133819.381999999</v>
      </c>
      <c r="E7" s="18" t="n">
        <v>157.635</v>
      </c>
      <c r="F7" s="18" t="n">
        <v>19.99955551925244</v>
      </c>
      <c r="G7" s="19" t="inlineStr">
        <is>
          <t>pontos.txt — eixo fornecido</t>
        </is>
      </c>
    </row>
    <row r="8">
      <c r="B8" s="14" t="n">
        <v>3</v>
      </c>
      <c r="C8" s="15" t="n">
        <v>250866.855</v>
      </c>
      <c r="D8" s="15" t="n">
        <v>9133836.092</v>
      </c>
      <c r="E8" s="15" t="n">
        <v>157.4</v>
      </c>
      <c r="F8" s="15" t="n">
        <v>39.99966051973469</v>
      </c>
      <c r="G8" s="16" t="inlineStr">
        <is>
          <t>pontos.txt — eixo fornecido</t>
        </is>
      </c>
    </row>
    <row r="9">
      <c r="B9" s="17" t="n">
        <v>4</v>
      </c>
      <c r="C9" s="18" t="n">
        <v>250877.844</v>
      </c>
      <c r="D9" s="18" t="n">
        <v>9133852.802999999</v>
      </c>
      <c r="E9" s="18" t="n">
        <v>157.156</v>
      </c>
      <c r="F9" s="18" t="n">
        <v>60.00005156524021</v>
      </c>
      <c r="G9" s="19" t="inlineStr">
        <is>
          <t>pontos.txt — eixo fornecido</t>
        </is>
      </c>
    </row>
    <row r="10">
      <c r="B10" s="14" t="n">
        <v>5</v>
      </c>
      <c r="C10" s="15" t="n">
        <v>250885.051</v>
      </c>
      <c r="D10" s="15" t="n">
        <v>9133871.083000001</v>
      </c>
      <c r="E10" s="15" t="n">
        <v>156.92</v>
      </c>
      <c r="F10" s="15" t="n">
        <v>79.64945992894187</v>
      </c>
      <c r="G10" s="16" t="inlineStr">
        <is>
          <t>pontos.txt — eixo fornecido</t>
        </is>
      </c>
    </row>
    <row r="11">
      <c r="B11" s="17" t="n">
        <v>6</v>
      </c>
      <c r="C11" s="18" t="n">
        <v>250889.125</v>
      </c>
      <c r="D11" s="18" t="n">
        <v>9133890.664000001</v>
      </c>
      <c r="E11" s="18" t="n">
        <v>156.647</v>
      </c>
      <c r="F11" s="18" t="n">
        <v>99.64978585151827</v>
      </c>
      <c r="G11" s="19" t="inlineStr">
        <is>
          <t>pontos.txt — eixo fornecido</t>
        </is>
      </c>
    </row>
    <row r="12">
      <c r="B12" s="14" t="n">
        <v>7</v>
      </c>
      <c r="C12" s="15" t="n">
        <v>250893.199</v>
      </c>
      <c r="D12" s="15" t="n">
        <v>9133910.244000001</v>
      </c>
      <c r="E12" s="15" t="n">
        <v>156.245</v>
      </c>
      <c r="F12" s="15" t="n">
        <v>119.649132740926</v>
      </c>
      <c r="G12" s="16" t="inlineStr">
        <is>
          <t>pontos.txt — eixo fornecido</t>
        </is>
      </c>
    </row>
    <row r="13">
      <c r="B13" s="17" t="n">
        <v>8</v>
      </c>
      <c r="C13" s="18" t="n">
        <v>250896.181</v>
      </c>
      <c r="D13" s="18" t="n">
        <v>9133930.002</v>
      </c>
      <c r="E13" s="18" t="n">
        <v>155.957</v>
      </c>
      <c r="F13" s="18" t="n">
        <v>139.6308966264873</v>
      </c>
      <c r="G13" s="19" t="inlineStr">
        <is>
          <t>pontos.txt — eixo fornecido</t>
        </is>
      </c>
    </row>
    <row r="14">
      <c r="B14" s="14" t="n">
        <v>9</v>
      </c>
      <c r="C14" s="15" t="n">
        <v>250898.498</v>
      </c>
      <c r="D14" s="15" t="n">
        <v>9133949.867000001</v>
      </c>
      <c r="E14" s="15" t="n">
        <v>155.425</v>
      </c>
      <c r="F14" s="15" t="n">
        <v>159.630564473949</v>
      </c>
      <c r="G14" s="16" t="inlineStr">
        <is>
          <t>pontos.txt — eixo fornecido</t>
        </is>
      </c>
    </row>
    <row r="15">
      <c r="B15" s="17" t="n">
        <v>10</v>
      </c>
      <c r="C15" s="18" t="n">
        <v>250900.815</v>
      </c>
      <c r="D15" s="18" t="n">
        <v>9133969.732999999</v>
      </c>
      <c r="E15" s="18" t="n">
        <v>154.83</v>
      </c>
      <c r="F15" s="18" t="n">
        <v>179.6312255865581</v>
      </c>
      <c r="G15" s="19" t="inlineStr">
        <is>
          <t>pontos.txt — eixo fornecido</t>
        </is>
      </c>
    </row>
    <row r="16">
      <c r="B16" s="14" t="n">
        <v>11</v>
      </c>
      <c r="C16" s="15" t="n">
        <v>250902.981</v>
      </c>
      <c r="D16" s="15" t="n">
        <v>9133989.615</v>
      </c>
      <c r="E16" s="15" t="n">
        <v>154.215</v>
      </c>
      <c r="F16" s="15" t="n">
        <v>199.6308625844041</v>
      </c>
      <c r="G16" s="16" t="inlineStr">
        <is>
          <t>pontos.txt — eixo fornecido</t>
        </is>
      </c>
    </row>
    <row r="17">
      <c r="B17" s="17" t="n">
        <v>12</v>
      </c>
      <c r="C17" s="18" t="n">
        <v>250905.047</v>
      </c>
      <c r="D17" s="18" t="n">
        <v>9134009.507999999</v>
      </c>
      <c r="E17" s="18" t="n">
        <v>153.605</v>
      </c>
      <c r="F17" s="18" t="n">
        <v>219.630857708632</v>
      </c>
      <c r="G17" s="19" t="inlineStr">
        <is>
          <t>pontos.txt — eixo fornecido</t>
        </is>
      </c>
    </row>
    <row r="18">
      <c r="B18" s="14" t="n">
        <v>13</v>
      </c>
      <c r="C18" s="15" t="n">
        <v>250907.113</v>
      </c>
      <c r="D18" s="15" t="n">
        <v>9134029.401000001</v>
      </c>
      <c r="E18" s="15" t="n">
        <v>152.93</v>
      </c>
      <c r="F18" s="15" t="n">
        <v>239.6308528347155</v>
      </c>
      <c r="G18" s="16" t="inlineStr">
        <is>
          <t>pontos.txt — eixo fornecido</t>
        </is>
      </c>
    </row>
    <row r="19">
      <c r="B19" s="17" t="n">
        <v>14</v>
      </c>
      <c r="C19" s="18" t="n">
        <v>250909.338</v>
      </c>
      <c r="D19" s="18" t="n">
        <v>9134049.276000001</v>
      </c>
      <c r="E19" s="18" t="n">
        <v>152.37</v>
      </c>
      <c r="F19" s="18" t="n">
        <v>259.6300090669143</v>
      </c>
      <c r="G19" s="19" t="inlineStr">
        <is>
          <t>pontos.txt — eixo fornecido</t>
        </is>
      </c>
    </row>
    <row r="20">
      <c r="B20" s="14" t="n">
        <v>15</v>
      </c>
      <c r="C20" s="15" t="n">
        <v>250911.627</v>
      </c>
      <c r="D20" s="15" t="n">
        <v>9134069.145</v>
      </c>
      <c r="E20" s="15" t="n">
        <v>152.06</v>
      </c>
      <c r="F20" s="15" t="n">
        <v>279.6304261115912</v>
      </c>
      <c r="G20" s="16" t="inlineStr">
        <is>
          <t>pontos.txt — eixo fornecido</t>
        </is>
      </c>
    </row>
    <row r="21">
      <c r="B21" s="17" t="n">
        <v>16</v>
      </c>
      <c r="C21" s="18" t="n">
        <v>250913.916</v>
      </c>
      <c r="D21" s="18" t="n">
        <v>9134089.013</v>
      </c>
      <c r="E21" s="18" t="n">
        <v>151.82</v>
      </c>
      <c r="F21" s="18" t="n">
        <v>299.6298497289952</v>
      </c>
      <c r="G21" s="19" t="inlineStr">
        <is>
          <t>pontos.txt — eixo fornecido</t>
        </is>
      </c>
    </row>
    <row r="22">
      <c r="B22" s="14" t="n">
        <v>17</v>
      </c>
      <c r="C22" s="15" t="n">
        <v>250915.002</v>
      </c>
      <c r="D22" s="15" t="n">
        <v>9134108.976</v>
      </c>
      <c r="E22" s="15" t="n">
        <v>151.615</v>
      </c>
      <c r="F22" s="15" t="n">
        <v>319.6223674539087</v>
      </c>
      <c r="G22" s="16" t="inlineStr">
        <is>
          <t>pontos.txt — eixo fornecido</t>
        </is>
      </c>
    </row>
    <row r="23">
      <c r="B23" s="17" t="n">
        <v>18</v>
      </c>
      <c r="C23" s="18" t="n">
        <v>250915.835</v>
      </c>
      <c r="D23" s="18" t="n">
        <v>9134128.959000001</v>
      </c>
      <c r="E23" s="18" t="n">
        <v>151.69</v>
      </c>
      <c r="F23" s="18" t="n">
        <v>339.6227219017052</v>
      </c>
      <c r="G23" s="19" t="inlineStr">
        <is>
          <t>pontos.txt — eixo fornecido</t>
        </is>
      </c>
    </row>
    <row r="24">
      <c r="B24" s="14" t="n">
        <v>19</v>
      </c>
      <c r="C24" s="15" t="n">
        <v>250916.667</v>
      </c>
      <c r="D24" s="15" t="n">
        <v>9134148.941</v>
      </c>
      <c r="E24" s="15" t="n">
        <v>151.875</v>
      </c>
      <c r="F24" s="15" t="n">
        <v>359.6220355888426</v>
      </c>
      <c r="G24" s="16" t="inlineStr">
        <is>
          <t>pontos.txt — eixo fornecido</t>
        </is>
      </c>
    </row>
    <row r="25">
      <c r="B25" s="17" t="n">
        <v>20</v>
      </c>
      <c r="C25" s="18" t="n">
        <v>250917.027</v>
      </c>
      <c r="D25" s="18" t="n">
        <v>9134168.937000001</v>
      </c>
      <c r="E25" s="18" t="n">
        <v>152.195</v>
      </c>
      <c r="F25" s="18" t="n">
        <v>379.6212759756243</v>
      </c>
      <c r="G25" s="19" t="inlineStr">
        <is>
          <t>pontos.txt — eixo fornecido</t>
        </is>
      </c>
    </row>
    <row r="26">
      <c r="B26" s="14" t="n">
        <v>21</v>
      </c>
      <c r="C26" s="15" t="n">
        <v>250917.305</v>
      </c>
      <c r="D26" s="15" t="n">
        <v>9134188.935000001</v>
      </c>
      <c r="E26" s="15" t="n">
        <v>152.568</v>
      </c>
      <c r="F26" s="15" t="n">
        <v>399.6212081751815</v>
      </c>
      <c r="G26" s="16" t="inlineStr">
        <is>
          <t>pontos.txt — eixo fornecido</t>
        </is>
      </c>
    </row>
    <row r="27">
      <c r="B27" s="17" t="n">
        <v>22</v>
      </c>
      <c r="C27" s="18" t="n">
        <v>250917.584</v>
      </c>
      <c r="D27" s="18" t="n">
        <v>9134208.933</v>
      </c>
      <c r="E27" s="18" t="n">
        <v>153.21</v>
      </c>
      <c r="F27" s="18" t="n">
        <v>419.6211542997813</v>
      </c>
      <c r="G27" s="19" t="inlineStr">
        <is>
          <t>pontos.txt — eixo fornecido</t>
        </is>
      </c>
    </row>
    <row r="28">
      <c r="B28" s="14" t="n">
        <v>23</v>
      </c>
      <c r="C28" s="15" t="n">
        <v>250918.761</v>
      </c>
      <c r="D28" s="15" t="n">
        <v>9134228.893999999</v>
      </c>
      <c r="E28" s="15" t="n">
        <v>153.95</v>
      </c>
      <c r="F28" s="15" t="n">
        <v>439.6168250804244</v>
      </c>
      <c r="G28" s="16" t="inlineStr">
        <is>
          <t>pontos.txt — eixo fornecido</t>
        </is>
      </c>
    </row>
    <row r="29">
      <c r="B29" s="17" t="n">
        <v>24</v>
      </c>
      <c r="C29" s="18" t="n">
        <v>250920.165</v>
      </c>
      <c r="D29" s="18" t="n">
        <v>9134248.844000001</v>
      </c>
      <c r="E29" s="18" t="n">
        <v>154.518</v>
      </c>
      <c r="F29" s="18" t="n">
        <v>459.616167970745</v>
      </c>
      <c r="G29" s="19" t="inlineStr">
        <is>
          <t>pontos.txt — eixo fornecido</t>
        </is>
      </c>
    </row>
    <row r="30">
      <c r="B30" s="14" t="n">
        <v>25</v>
      </c>
      <c r="C30" s="15" t="n">
        <v>250921.57</v>
      </c>
      <c r="D30" s="15" t="n">
        <v>9134268.795</v>
      </c>
      <c r="E30" s="15" t="n">
        <v>154.618</v>
      </c>
      <c r="F30" s="15" t="n">
        <v>479.6165786159495</v>
      </c>
      <c r="G30" s="16" t="inlineStr">
        <is>
          <t>pontos.txt — eixo fornecido</t>
        </is>
      </c>
    </row>
    <row r="31">
      <c r="B31" s="17" t="n">
        <v>26</v>
      </c>
      <c r="C31" s="18" t="n">
        <v>250921.978</v>
      </c>
      <c r="D31" s="18" t="n">
        <v>9134288.784</v>
      </c>
      <c r="E31" s="18" t="n">
        <v>154.34</v>
      </c>
      <c r="F31" s="18" t="n">
        <v>499.6097420725508</v>
      </c>
      <c r="G31" s="19" t="inlineStr">
        <is>
          <t>pontos.txt — eixo fornecido</t>
        </is>
      </c>
    </row>
    <row r="32">
      <c r="B32" s="14" t="n">
        <v>27</v>
      </c>
      <c r="C32" s="15" t="n">
        <v>250922.125</v>
      </c>
      <c r="D32" s="15" t="n">
        <v>9134308.784</v>
      </c>
      <c r="E32" s="15" t="n">
        <v>153.85</v>
      </c>
      <c r="F32" s="15" t="n">
        <v>519.6102822902549</v>
      </c>
      <c r="G32" s="16" t="inlineStr">
        <is>
          <t>pontos.txt — eixo fornecido</t>
        </is>
      </c>
    </row>
    <row r="33">
      <c r="B33" s="17" t="n">
        <v>28</v>
      </c>
      <c r="C33" s="18" t="n">
        <v>250922.272</v>
      </c>
      <c r="D33" s="18" t="n">
        <v>9134328.783</v>
      </c>
      <c r="E33" s="18" t="n">
        <v>153.267</v>
      </c>
      <c r="F33" s="18" t="n">
        <v>539.6098225348065</v>
      </c>
      <c r="G33" s="19" t="inlineStr">
        <is>
          <t>pontos.txt — eixo fornecido</t>
        </is>
      </c>
    </row>
    <row r="34">
      <c r="B34" s="14" t="n">
        <v>29</v>
      </c>
      <c r="C34" s="15" t="n">
        <v>250922.479</v>
      </c>
      <c r="D34" s="15" t="n">
        <v>9134348.782</v>
      </c>
      <c r="E34" s="15" t="n">
        <v>152.36</v>
      </c>
      <c r="F34" s="15" t="n">
        <v>559.6098937845156</v>
      </c>
      <c r="G34" s="16" t="inlineStr">
        <is>
          <t>pontos.txt — eixo fornecido</t>
        </is>
      </c>
    </row>
    <row r="35">
      <c r="B35" s="17" t="n">
        <v>30</v>
      </c>
      <c r="C35" s="18" t="n">
        <v>250922.685</v>
      </c>
      <c r="D35" s="18" t="n">
        <v>9134368.780999999</v>
      </c>
      <c r="E35" s="18" t="n">
        <v>151.48</v>
      </c>
      <c r="F35" s="18" t="n">
        <v>579.609954709259</v>
      </c>
      <c r="G35" s="19" t="inlineStr">
        <is>
          <t>pontos.txt — eixo fornecido</t>
        </is>
      </c>
    </row>
    <row r="36">
      <c r="B36" s="14" t="n">
        <v>31</v>
      </c>
      <c r="C36" s="15" t="n">
        <v>250922.891</v>
      </c>
      <c r="D36" s="15" t="n">
        <v>9134388.779999999</v>
      </c>
      <c r="E36" s="15" t="n">
        <v>150.833</v>
      </c>
      <c r="F36" s="15" t="n">
        <v>599.6100156340024</v>
      </c>
      <c r="G36" s="16" t="inlineStr">
        <is>
          <t>pontos.txt — eixo fornecido</t>
        </is>
      </c>
    </row>
    <row r="37">
      <c r="B37" s="17" t="n">
        <v>32</v>
      </c>
      <c r="C37" s="18" t="n">
        <v>250923.483</v>
      </c>
      <c r="D37" s="18" t="n">
        <v>9134408.771</v>
      </c>
      <c r="E37" s="18" t="n">
        <v>150.194</v>
      </c>
      <c r="F37" s="18" t="n">
        <v>619.609779257993</v>
      </c>
      <c r="G37" s="19" t="inlineStr">
        <is>
          <t>pontos.txt — eixo fornecido</t>
        </is>
      </c>
    </row>
    <row r="38">
      <c r="B38" s="14" t="n">
        <v>33</v>
      </c>
      <c r="C38" s="15" t="n">
        <v>250924.081</v>
      </c>
      <c r="D38" s="15" t="n">
        <v>9134428.762</v>
      </c>
      <c r="E38" s="15" t="n">
        <v>149.57</v>
      </c>
      <c r="F38" s="15" t="n">
        <v>639.6097213832965</v>
      </c>
      <c r="G38" s="16" t="inlineStr">
        <is>
          <t>pontos.txt — eixo fornecido</t>
        </is>
      </c>
    </row>
    <row r="39">
      <c r="B39" s="17" t="n">
        <v>34</v>
      </c>
      <c r="C39" s="18" t="n">
        <v>250924.678</v>
      </c>
      <c r="D39" s="18" t="n">
        <v>9134448.753</v>
      </c>
      <c r="E39" s="18" t="n">
        <v>148.895</v>
      </c>
      <c r="F39" s="18" t="n">
        <v>659.6096336334915</v>
      </c>
      <c r="G39" s="19" t="inlineStr">
        <is>
          <t>pontos.txt — eixo fornecido</t>
        </is>
      </c>
    </row>
    <row r="40">
      <c r="B40" s="14" t="n">
        <v>35</v>
      </c>
      <c r="C40" s="15" t="n">
        <v>250926.49</v>
      </c>
      <c r="D40" s="15" t="n">
        <v>9134468.662</v>
      </c>
      <c r="E40" s="15" t="n">
        <v>147.865</v>
      </c>
      <c r="F40" s="15" t="n">
        <v>679.600922361318</v>
      </c>
      <c r="G40" s="16" t="inlineStr">
        <is>
          <t>pontos.txt — eixo fornecido</t>
        </is>
      </c>
    </row>
    <row r="41">
      <c r="B41" s="17" t="n">
        <v>36</v>
      </c>
      <c r="C41" s="18" t="n">
        <v>250928.603</v>
      </c>
      <c r="D41" s="18" t="n">
        <v>9134488.550000001</v>
      </c>
      <c r="E41" s="18" t="n">
        <v>147.035</v>
      </c>
      <c r="F41" s="18" t="n">
        <v>699.6008551864732</v>
      </c>
      <c r="G41" s="19" t="inlineStr">
        <is>
          <t>pontos.txt — eixo fornecido</t>
        </is>
      </c>
    </row>
    <row r="42">
      <c r="B42" s="14" t="n">
        <v>37</v>
      </c>
      <c r="C42" s="15" t="n">
        <v>250930.717</v>
      </c>
      <c r="D42" s="15" t="n">
        <v>9134508.437999999</v>
      </c>
      <c r="E42" s="15" t="n">
        <v>146.31</v>
      </c>
      <c r="F42" s="15" t="n">
        <v>719.6008936848508</v>
      </c>
      <c r="G42" s="16" t="inlineStr">
        <is>
          <t>pontos.txt — eixo fornecido</t>
        </is>
      </c>
    </row>
    <row r="43">
      <c r="B43" s="17" t="n">
        <v>38</v>
      </c>
      <c r="C43" s="18" t="n">
        <v>250939.226</v>
      </c>
      <c r="D43" s="18" t="n">
        <v>9134526.219000001</v>
      </c>
      <c r="E43" s="18" t="n">
        <v>145.58</v>
      </c>
      <c r="F43" s="18" t="n">
        <v>739.3129976326304</v>
      </c>
      <c r="G43" s="19" t="inlineStr">
        <is>
          <t>pontos.txt — eixo fornecido</t>
        </is>
      </c>
    </row>
    <row r="44">
      <c r="B44" s="14" t="n">
        <v>39</v>
      </c>
      <c r="C44" s="15" t="n">
        <v>250949.348</v>
      </c>
      <c r="D44" s="15" t="n">
        <v>9134543.468</v>
      </c>
      <c r="E44" s="15" t="n">
        <v>144.73</v>
      </c>
      <c r="F44" s="15" t="n">
        <v>759.3125697529135</v>
      </c>
      <c r="G44" s="16" t="inlineStr">
        <is>
          <t>pontos.txt — eixo fornecido</t>
        </is>
      </c>
    </row>
    <row r="45">
      <c r="B45" s="17" t="n">
        <v>40</v>
      </c>
      <c r="C45" s="18" t="n">
        <v>250959.471</v>
      </c>
      <c r="D45" s="18" t="n">
        <v>9134560.717</v>
      </c>
      <c r="E45" s="18" t="n">
        <v>143.58</v>
      </c>
      <c r="F45" s="18" t="n">
        <v>779.3126480026152</v>
      </c>
      <c r="G45" s="19" t="inlineStr">
        <is>
          <t>pontos.txt — eixo fornecido</t>
        </is>
      </c>
    </row>
    <row r="46">
      <c r="B46" s="14" t="n">
        <v>41</v>
      </c>
      <c r="C46" s="15" t="n">
        <v>250969.351</v>
      </c>
      <c r="D46" s="15" t="n">
        <v>9134578.102</v>
      </c>
      <c r="E46" s="15" t="n">
        <v>142.695</v>
      </c>
      <c r="F46" s="15" t="n">
        <v>799.3089632879952</v>
      </c>
      <c r="G46" s="16" t="inlineStr">
        <is>
          <t>pontos.txt — eixo fornecido</t>
        </is>
      </c>
    </row>
    <row r="47">
      <c r="B47" s="17" t="n">
        <v>42</v>
      </c>
      <c r="C47" s="18" t="n">
        <v>250978.772</v>
      </c>
      <c r="D47" s="18" t="n">
        <v>9134595.744000001</v>
      </c>
      <c r="E47" s="18" t="n">
        <v>141.418</v>
      </c>
      <c r="F47" s="18" t="n">
        <v>819.3088484134812</v>
      </c>
      <c r="G47" s="19" t="inlineStr">
        <is>
          <t>pontos.txt — eixo fornecido</t>
        </is>
      </c>
    </row>
    <row r="48">
      <c r="B48" s="14" t="n">
        <v>43</v>
      </c>
      <c r="C48" s="15" t="n">
        <v>250988.193</v>
      </c>
      <c r="D48" s="15" t="n">
        <v>9134613.386</v>
      </c>
      <c r="E48" s="15" t="n">
        <v>140.3</v>
      </c>
      <c r="F48" s="15" t="n">
        <v>839.3087335373242</v>
      </c>
      <c r="G48" s="16" t="inlineStr">
        <is>
          <t>pontos.txt — eixo fornecido</t>
        </is>
      </c>
    </row>
    <row r="49">
      <c r="B49" s="17" t="n">
        <v>44</v>
      </c>
      <c r="C49" s="18" t="n">
        <v>250997.615</v>
      </c>
      <c r="D49" s="18" t="n">
        <v>9134631.028000001</v>
      </c>
      <c r="E49" s="18" t="n">
        <v>139.309</v>
      </c>
      <c r="F49" s="18" t="n">
        <v>859.3090897349632</v>
      </c>
      <c r="G49" s="19" t="inlineStr">
        <is>
          <t>pontos.txt — eixo fornecido</t>
        </is>
      </c>
    </row>
    <row r="50">
      <c r="B50" s="14" t="n">
        <v>45</v>
      </c>
      <c r="C50" s="15" t="n">
        <v>251007.826</v>
      </c>
      <c r="D50" s="15" t="n">
        <v>9134648.134</v>
      </c>
      <c r="E50" s="15" t="n">
        <v>138.16</v>
      </c>
      <c r="F50" s="15" t="n">
        <v>879.2309309389631</v>
      </c>
      <c r="G50" s="16" t="inlineStr">
        <is>
          <t>pontos.txt — eixo fornecido</t>
        </is>
      </c>
    </row>
    <row r="51">
      <c r="B51" s="17" t="n">
        <v>46</v>
      </c>
      <c r="C51" s="18" t="n">
        <v>251020.736</v>
      </c>
      <c r="D51" s="18" t="n">
        <v>9134663.409</v>
      </c>
      <c r="E51" s="18" t="n">
        <v>137.108</v>
      </c>
      <c r="F51" s="18" t="n">
        <v>899.2307740636346</v>
      </c>
      <c r="G51" s="19" t="inlineStr">
        <is>
          <t>pontos.txt — eixo fornecido</t>
        </is>
      </c>
    </row>
    <row r="52">
      <c r="B52" s="14" t="n">
        <v>47</v>
      </c>
      <c r="C52" s="15" t="n">
        <v>251033.646</v>
      </c>
      <c r="D52" s="15" t="n">
        <v>9134678.684</v>
      </c>
      <c r="E52" s="15" t="n">
        <v>136.575</v>
      </c>
      <c r="F52" s="15" t="n">
        <v>919.2306171883062</v>
      </c>
      <c r="G52" s="16" t="inlineStr">
        <is>
          <t>pontos.txt — eixo fornecido</t>
        </is>
      </c>
    </row>
    <row r="53">
      <c r="B53" s="17" t="n">
        <v>48</v>
      </c>
      <c r="C53" s="18" t="n">
        <v>251044.763</v>
      </c>
      <c r="D53" s="18" t="n">
        <v>9134695.108999999</v>
      </c>
      <c r="E53" s="18" t="n">
        <v>136.26</v>
      </c>
      <c r="F53" s="18" t="n">
        <v>939.0641321053159</v>
      </c>
      <c r="G53" s="19" t="inlineStr">
        <is>
          <t>pontos.txt — eixo fornecido</t>
        </is>
      </c>
    </row>
    <row r="54">
      <c r="B54" s="14" t="n">
        <v>49</v>
      </c>
      <c r="C54" s="15" t="n">
        <v>251053.255</v>
      </c>
      <c r="D54" s="15" t="n">
        <v>9134713.217</v>
      </c>
      <c r="E54" s="15" t="n">
        <v>135.875</v>
      </c>
      <c r="F54" s="15" t="n">
        <v>959.0644753032205</v>
      </c>
      <c r="G54" s="16" t="inlineStr">
        <is>
          <t>pontos.txt — eixo fornecido</t>
        </is>
      </c>
    </row>
    <row r="55">
      <c r="B55" s="17" t="n">
        <v>50</v>
      </c>
      <c r="C55" s="18" t="n">
        <v>251058.559</v>
      </c>
      <c r="D55" s="18" t="n">
        <v>9134732.357000001</v>
      </c>
      <c r="E55" s="18" t="n">
        <v>135.37</v>
      </c>
      <c r="F55" s="18" t="n">
        <v>978.9257948974181</v>
      </c>
      <c r="G55" s="19" t="inlineStr">
        <is>
          <t>pontos.txt — eixo fornecido</t>
        </is>
      </c>
    </row>
    <row r="56">
      <c r="B56" s="14" t="n">
        <v>51</v>
      </c>
      <c r="C56" s="15" t="n">
        <v>251062.294</v>
      </c>
      <c r="D56" s="15" t="n">
        <v>9134752.005000001</v>
      </c>
      <c r="E56" s="15" t="n">
        <v>135</v>
      </c>
      <c r="F56" s="15" t="n">
        <v>998.9256481219209</v>
      </c>
      <c r="G56" s="16" t="inlineStr">
        <is>
          <t>pontos.txt — eixo fornecido</t>
        </is>
      </c>
    </row>
    <row r="57">
      <c r="B57" s="17" t="n">
        <v>52</v>
      </c>
      <c r="C57" s="18" t="n">
        <v>251066.028</v>
      </c>
      <c r="D57" s="18" t="n">
        <v>9134771.653000001</v>
      </c>
      <c r="E57" s="18" t="n">
        <v>134.805</v>
      </c>
      <c r="F57" s="18" t="n">
        <v>1018.925314619184</v>
      </c>
      <c r="G57" s="19" t="inlineStr">
        <is>
          <t>pontos.txt — eixo fornecido</t>
        </is>
      </c>
    </row>
    <row r="58">
      <c r="B58" s="14" t="n">
        <v>53</v>
      </c>
      <c r="C58" s="15" t="n">
        <v>251069.763</v>
      </c>
      <c r="D58" s="15" t="n">
        <v>9134791.301000001</v>
      </c>
      <c r="E58" s="15" t="n">
        <v>134.555</v>
      </c>
      <c r="F58" s="15" t="n">
        <v>1038.925167843692</v>
      </c>
      <c r="G58" s="16" t="inlineStr">
        <is>
          <t>pontos.txt — eixo fornecido</t>
        </is>
      </c>
    </row>
    <row r="59">
      <c r="B59" s="17" t="n">
        <v>54</v>
      </c>
      <c r="C59" s="18" t="n">
        <v>251070.424</v>
      </c>
      <c r="D59" s="18" t="n">
        <v>9134811.23</v>
      </c>
      <c r="E59" s="18" t="n">
        <v>134.35</v>
      </c>
      <c r="F59" s="18" t="n">
        <v>1058.865126769968</v>
      </c>
      <c r="G59" s="19" t="inlineStr">
        <is>
          <t>pontos.txt — eixo fornecido</t>
        </is>
      </c>
    </row>
    <row r="60">
      <c r="B60" s="14" t="n">
        <v>55</v>
      </c>
      <c r="C60" s="15" t="n">
        <v>251065.78</v>
      </c>
      <c r="D60" s="15" t="n">
        <v>9134830.399</v>
      </c>
      <c r="E60" s="15" t="n">
        <v>134.16</v>
      </c>
      <c r="F60" s="15" t="n">
        <v>1078.588648184534</v>
      </c>
      <c r="G60" s="16" t="inlineStr">
        <is>
          <t>pontos.txt — eixo fornecido</t>
        </is>
      </c>
    </row>
    <row r="61">
      <c r="B61" s="17" t="n">
        <v>56</v>
      </c>
      <c r="C61" s="18" t="n">
        <v>251058.789</v>
      </c>
      <c r="D61" s="18" t="n">
        <v>9134849.138</v>
      </c>
      <c r="E61" s="18" t="n">
        <v>133.76</v>
      </c>
      <c r="F61" s="18" t="n">
        <v>1098.589253225442</v>
      </c>
      <c r="G61" s="19" t="inlineStr">
        <is>
          <t>pontos.txt — eixo fornecido</t>
        </is>
      </c>
    </row>
    <row r="62">
      <c r="B62" s="14" t="n">
        <v>57</v>
      </c>
      <c r="C62" s="15" t="n">
        <v>251051.799</v>
      </c>
      <c r="D62" s="15" t="n">
        <v>9134867.876</v>
      </c>
      <c r="E62" s="15" t="n">
        <v>133.47</v>
      </c>
      <c r="F62" s="15" t="n">
        <v>1118.588571813732</v>
      </c>
      <c r="G62" s="16" t="inlineStr">
        <is>
          <t>pontos.txt — eixo fornecido</t>
        </is>
      </c>
    </row>
    <row r="63">
      <c r="B63" s="17" t="n">
        <v>58</v>
      </c>
      <c r="C63" s="18" t="n">
        <v>251043.404</v>
      </c>
      <c r="D63" s="18" t="n">
        <v>9134886.02</v>
      </c>
      <c r="E63" s="18" t="n">
        <v>132.99</v>
      </c>
      <c r="F63" s="18" t="n">
        <v>1138.580589245139</v>
      </c>
      <c r="G63" s="19" t="inlineStr">
        <is>
          <t>pontos.txt — eixo fornecido</t>
        </is>
      </c>
    </row>
    <row r="64">
      <c r="B64" s="14" t="n">
        <v>59</v>
      </c>
      <c r="C64" s="15" t="n">
        <v>251034.818</v>
      </c>
      <c r="D64" s="15" t="n">
        <v>9134904.083000001</v>
      </c>
      <c r="E64" s="15" t="n">
        <v>132.335</v>
      </c>
      <c r="F64" s="15" t="n">
        <v>1158.580373369893</v>
      </c>
      <c r="G64" s="16" t="inlineStr">
        <is>
          <t>pontos.txt — eixo fornecido</t>
        </is>
      </c>
    </row>
    <row r="65">
      <c r="B65" s="17" t="n">
        <v>60</v>
      </c>
      <c r="C65" s="18" t="n">
        <v>251025.189</v>
      </c>
      <c r="D65" s="18" t="n">
        <v>9134921.609999999</v>
      </c>
      <c r="E65" s="18" t="n">
        <v>131.335</v>
      </c>
      <c r="F65" s="18" t="n">
        <v>1178.578207501593</v>
      </c>
      <c r="G65" s="19" t="inlineStr">
        <is>
          <t>pontos.txt — eixo fornecido</t>
        </is>
      </c>
    </row>
    <row r="66">
      <c r="B66" s="14" t="n">
        <v>61</v>
      </c>
      <c r="C66" s="15" t="n">
        <v>251015.481</v>
      </c>
      <c r="D66" s="15" t="n">
        <v>9134939.096000001</v>
      </c>
      <c r="E66" s="15" t="n">
        <v>130.28</v>
      </c>
      <c r="F66" s="15" t="n">
        <v>1198.578344002385</v>
      </c>
      <c r="G66" s="16" t="inlineStr">
        <is>
          <t>pontos.txt — eixo fornecido</t>
        </is>
      </c>
    </row>
    <row r="67">
      <c r="B67" s="17" t="n">
        <v>62</v>
      </c>
      <c r="C67" s="18" t="n">
        <v>251005.773</v>
      </c>
      <c r="D67" s="18" t="n">
        <v>9134956.582</v>
      </c>
      <c r="E67" s="18" t="n">
        <v>128.9</v>
      </c>
      <c r="F67" s="18" t="n">
        <v>1218.578480501548</v>
      </c>
      <c r="G67" s="19" t="inlineStr">
        <is>
          <t>pontos.txt — eixo fornecido</t>
        </is>
      </c>
    </row>
    <row r="68">
      <c r="B68" s="14" t="n">
        <v>63</v>
      </c>
      <c r="C68" s="15" t="n">
        <v>250996.066</v>
      </c>
      <c r="D68" s="15" t="n">
        <v>9134974.068</v>
      </c>
      <c r="E68" s="15" t="n">
        <v>128.043</v>
      </c>
      <c r="F68" s="15" t="n">
        <v>1238.578131623124</v>
      </c>
      <c r="G68" s="16" t="inlineStr">
        <is>
          <t>pontos.txt — eixo fornecido</t>
        </is>
      </c>
    </row>
    <row r="69">
      <c r="B69" s="17" t="n">
        <v>64</v>
      </c>
      <c r="C69" s="18" t="n">
        <v>250986.358</v>
      </c>
      <c r="D69" s="18" t="n">
        <v>9134991.554</v>
      </c>
      <c r="E69" s="18" t="n">
        <v>127.646</v>
      </c>
      <c r="F69" s="18" t="n">
        <v>1258.578268122273</v>
      </c>
      <c r="G69" s="19" t="inlineStr">
        <is>
          <t>pontos.txt — eixo fornecido</t>
        </is>
      </c>
    </row>
    <row r="70">
      <c r="B70" s="14" t="n">
        <v>65</v>
      </c>
      <c r="C70" s="15" t="n">
        <v>250976.65</v>
      </c>
      <c r="D70" s="15" t="n">
        <v>9135009.039999999</v>
      </c>
      <c r="E70" s="15" t="n">
        <v>127.29</v>
      </c>
      <c r="F70" s="15" t="n">
        <v>1278.578404621436</v>
      </c>
      <c r="G70" s="16" t="inlineStr">
        <is>
          <t>pontos.txt — eixo fornecido</t>
        </is>
      </c>
    </row>
    <row r="71">
      <c r="B71" s="17" t="n">
        <v>66</v>
      </c>
      <c r="C71" s="18" t="n">
        <v>250966.942</v>
      </c>
      <c r="D71" s="18" t="n">
        <v>9135026.525</v>
      </c>
      <c r="E71" s="18" t="n">
        <v>126.98</v>
      </c>
      <c r="F71" s="18" t="n">
        <v>1298.577666833927</v>
      </c>
      <c r="G71" s="19" t="inlineStr">
        <is>
          <t>pontos.txt — eixo fornecido</t>
        </is>
      </c>
    </row>
    <row r="72">
      <c r="B72" s="14" t="n">
        <v>67</v>
      </c>
      <c r="C72" s="15" t="n">
        <v>250957.234</v>
      </c>
      <c r="D72" s="15" t="n">
        <v>9135044.011</v>
      </c>
      <c r="E72" s="15" t="n">
        <v>126.67</v>
      </c>
      <c r="F72" s="15" t="n">
        <v>1318.57780333309</v>
      </c>
      <c r="G72" s="16" t="inlineStr">
        <is>
          <t>pontos.txt — eixo fornecido</t>
        </is>
      </c>
    </row>
    <row r="73">
      <c r="B73" s="17" t="n">
        <v>68</v>
      </c>
      <c r="C73" s="18" t="n">
        <v>250947.373</v>
      </c>
      <c r="D73" s="18" t="n">
        <v>9135061.409</v>
      </c>
      <c r="E73" s="18" t="n">
        <v>126.583</v>
      </c>
      <c r="F73" s="18" t="n">
        <v>1338.576046380959</v>
      </c>
      <c r="G73" s="19" t="inlineStr">
        <is>
          <t>pontos.txt — eixo fornecido</t>
        </is>
      </c>
    </row>
    <row r="74">
      <c r="B74" s="14" t="n">
        <v>69</v>
      </c>
      <c r="C74" s="15" t="n">
        <v>250937.127</v>
      </c>
      <c r="D74" s="15" t="n">
        <v>9135078.585000001</v>
      </c>
      <c r="E74" s="15" t="n">
        <v>126.444</v>
      </c>
      <c r="F74" s="15" t="n">
        <v>1358.575933681414</v>
      </c>
      <c r="G74" s="16" t="inlineStr">
        <is>
          <t>pontos.txt — eixo fornecido</t>
        </is>
      </c>
    </row>
    <row r="75">
      <c r="B75" s="17" t="n">
        <v>70</v>
      </c>
      <c r="C75" s="18" t="n">
        <v>250926.881</v>
      </c>
      <c r="D75" s="18" t="n">
        <v>9135095.761</v>
      </c>
      <c r="E75" s="18" t="n">
        <v>126.4</v>
      </c>
      <c r="F75" s="18" t="n">
        <v>1378.575820980285</v>
      </c>
      <c r="G75" s="19" t="inlineStr">
        <is>
          <t>pontos.txt — eixo fornecido</t>
        </is>
      </c>
    </row>
    <row r="76">
      <c r="B76" s="14" t="n">
        <v>71</v>
      </c>
      <c r="C76" s="15" t="n">
        <v>250916.635</v>
      </c>
      <c r="D76" s="15" t="n">
        <v>9135112.937000001</v>
      </c>
      <c r="E76" s="15" t="n">
        <v>126.178</v>
      </c>
      <c r="F76" s="15" t="n">
        <v>1398.57570828074</v>
      </c>
      <c r="G76" s="16" t="inlineStr">
        <is>
          <t>pontos.txt — eixo fornecido</t>
        </is>
      </c>
    </row>
    <row r="77">
      <c r="B77" s="17" t="n">
        <v>72</v>
      </c>
      <c r="C77" s="18" t="n">
        <v>250906.388</v>
      </c>
      <c r="D77" s="18" t="n">
        <v>9135130.113</v>
      </c>
      <c r="E77" s="18" t="n">
        <v>126.253</v>
      </c>
      <c r="F77" s="18" t="n">
        <v>1418.57610790093</v>
      </c>
      <c r="G77" s="19" t="inlineStr">
        <is>
          <t>pontos.txt — eixo fornecido</t>
        </is>
      </c>
    </row>
    <row r="78">
      <c r="B78" s="14" t="n">
        <v>73</v>
      </c>
      <c r="C78" s="15" t="n">
        <v>250896.142</v>
      </c>
      <c r="D78" s="15" t="n">
        <v>9135147.289000001</v>
      </c>
      <c r="E78" s="15" t="n">
        <v>126.41</v>
      </c>
      <c r="F78" s="15" t="n">
        <v>1438.5759952014</v>
      </c>
      <c r="G78" s="16" t="inlineStr">
        <is>
          <t>pontos.txt — eixo fornecido</t>
        </is>
      </c>
    </row>
    <row r="79">
      <c r="B79" s="17" t="n">
        <v>74</v>
      </c>
      <c r="C79" s="18" t="n">
        <v>250885.896</v>
      </c>
      <c r="D79" s="18" t="n">
        <v>9135164.465</v>
      </c>
      <c r="E79" s="18" t="n">
        <v>126.508</v>
      </c>
      <c r="F79" s="18" t="n">
        <v>1458.575882500256</v>
      </c>
      <c r="G79" s="19" t="inlineStr">
        <is>
          <t>pontos.txt — eixo fornecido</t>
        </is>
      </c>
    </row>
    <row r="80">
      <c r="B80" s="14" t="n">
        <v>75</v>
      </c>
      <c r="C80" s="15" t="n">
        <v>250875.65</v>
      </c>
      <c r="D80" s="15" t="n">
        <v>9135181.642000001</v>
      </c>
      <c r="E80" s="15" t="n">
        <v>126.57</v>
      </c>
      <c r="F80" s="15" t="n">
        <v>1478.576628612268</v>
      </c>
      <c r="G80" s="16" t="inlineStr">
        <is>
          <t>pontos.txt — eixo fornecido</t>
        </is>
      </c>
    </row>
    <row r="81">
      <c r="B81" s="17" t="n">
        <v>76</v>
      </c>
      <c r="C81" s="18" t="n">
        <v>250865.404</v>
      </c>
      <c r="D81" s="18" t="n">
        <v>9135198.818</v>
      </c>
      <c r="E81" s="18" t="n">
        <v>126.592</v>
      </c>
      <c r="F81" s="18" t="n">
        <v>1498.576515911123</v>
      </c>
      <c r="G81" s="19" t="inlineStr">
        <is>
          <t>pontos.txt — eixo fornecido</t>
        </is>
      </c>
    </row>
    <row r="82">
      <c r="B82" s="14" t="n">
        <v>77</v>
      </c>
      <c r="C82" s="15" t="n">
        <v>250855.158</v>
      </c>
      <c r="D82" s="15" t="n">
        <v>9135215.994000001</v>
      </c>
      <c r="E82" s="15" t="n">
        <v>126.505</v>
      </c>
      <c r="F82" s="15" t="n">
        <v>1518.576403211593</v>
      </c>
      <c r="G82" s="16" t="inlineStr">
        <is>
          <t>pontos.txt — eixo fornecido</t>
        </is>
      </c>
    </row>
    <row r="83">
      <c r="B83" s="17" t="n">
        <v>78</v>
      </c>
      <c r="C83" s="18" t="n">
        <v>250845.56</v>
      </c>
      <c r="D83" s="18" t="n">
        <v>9135233.539000001</v>
      </c>
      <c r="E83" s="18" t="n">
        <v>126.3</v>
      </c>
      <c r="F83" s="18" t="n">
        <v>1538.57511889529</v>
      </c>
      <c r="G83" s="19" t="inlineStr">
        <is>
          <t>pontos.txt — eixo fornecido</t>
        </is>
      </c>
    </row>
    <row r="84">
      <c r="B84" s="14" t="n">
        <v>79</v>
      </c>
      <c r="C84" s="15" t="n">
        <v>250836.031</v>
      </c>
      <c r="D84" s="15" t="n">
        <v>9135251.122</v>
      </c>
      <c r="E84" s="15" t="n">
        <v>125.88</v>
      </c>
      <c r="F84" s="15" t="n">
        <v>1558.574212123599</v>
      </c>
      <c r="G84" s="16" t="inlineStr">
        <is>
          <t>pontos.txt — eixo fornecido</t>
        </is>
      </c>
    </row>
    <row r="85">
      <c r="B85" s="17" t="n">
        <v>80</v>
      </c>
      <c r="C85" s="18" t="n">
        <v>250854.964</v>
      </c>
      <c r="D85" s="18" t="n">
        <v>9135254.636</v>
      </c>
      <c r="E85" s="18" t="n">
        <v>125.529</v>
      </c>
      <c r="F85" s="18" t="n">
        <v>1577.830553546719</v>
      </c>
      <c r="G85" s="19" t="inlineStr">
        <is>
          <t>pontos.txt — eixo fornecido</t>
        </is>
      </c>
    </row>
    <row r="86">
      <c r="B86" s="14" t="n">
        <v>81</v>
      </c>
      <c r="C86" s="15" t="n">
        <v>250872.542</v>
      </c>
      <c r="D86" s="15" t="n">
        <v>9135264.168</v>
      </c>
      <c r="E86" s="15" t="n">
        <v>125.43</v>
      </c>
      <c r="F86" s="15" t="n">
        <v>1597.826680871598</v>
      </c>
      <c r="G86" s="16" t="inlineStr">
        <is>
          <t>pontos.txt — eixo fornecido</t>
        </is>
      </c>
    </row>
    <row r="87">
      <c r="B87" s="17" t="n">
        <v>82</v>
      </c>
      <c r="C87" s="18" t="n">
        <v>250890.52</v>
      </c>
      <c r="D87" s="18" t="n">
        <v>9135272.931</v>
      </c>
      <c r="E87" s="18" t="n">
        <v>125.67</v>
      </c>
      <c r="F87" s="18" t="n">
        <v>1617.826647196689</v>
      </c>
      <c r="G87" s="19" t="inlineStr">
        <is>
          <t>pontos.txt — eixo fornecido</t>
        </is>
      </c>
    </row>
    <row r="88">
      <c r="B88" s="14" t="n">
        <v>83</v>
      </c>
      <c r="C88" s="15" t="n">
        <v>250908.498</v>
      </c>
      <c r="D88" s="15" t="n">
        <v>9135281.694</v>
      </c>
      <c r="E88" s="15" t="n">
        <v>125.937</v>
      </c>
      <c r="F88" s="15" t="n">
        <v>1637.826613521781</v>
      </c>
      <c r="G88" s="16" t="inlineStr">
        <is>
          <t>pontos.txt — eixo fornecido</t>
        </is>
      </c>
    </row>
    <row r="89">
      <c r="B89" s="17" t="n">
        <v>84</v>
      </c>
      <c r="C89" s="18" t="n">
        <v>250926.36</v>
      </c>
      <c r="D89" s="18" t="n">
        <v>9135290.683</v>
      </c>
      <c r="E89" s="18" t="n">
        <v>125.57</v>
      </c>
      <c r="F89" s="18" t="n">
        <v>1657.822942309857</v>
      </c>
      <c r="G89" s="19" t="inlineStr">
        <is>
          <t>pontos.txt — eixo fornecido</t>
        </is>
      </c>
    </row>
    <row r="90">
      <c r="B90" s="14" t="n">
        <v>85</v>
      </c>
      <c r="C90" s="15" t="n">
        <v>250944.013</v>
      </c>
      <c r="D90" s="15" t="n">
        <v>9135300.085000001</v>
      </c>
      <c r="E90" s="15" t="n">
        <v>125.425</v>
      </c>
      <c r="F90" s="15" t="n">
        <v>1677.823592624632</v>
      </c>
      <c r="G90" s="16" t="inlineStr">
        <is>
          <t>pontos.txt — eixo fornecido</t>
        </is>
      </c>
    </row>
    <row r="91">
      <c r="B91" s="17" t="n">
        <v>86</v>
      </c>
      <c r="C91" s="18" t="n">
        <v>250961.853</v>
      </c>
      <c r="D91" s="18" t="n">
        <v>9135309.111</v>
      </c>
      <c r="E91" s="18" t="n">
        <v>125.24</v>
      </c>
      <c r="F91" s="18" t="n">
        <v>1697.816948420394</v>
      </c>
      <c r="G91" s="19" t="inlineStr">
        <is>
          <t>pontos.txt — eixo fornecido</t>
        </is>
      </c>
    </row>
    <row r="92">
      <c r="B92" s="14" t="n">
        <v>87</v>
      </c>
      <c r="C92" s="15" t="n">
        <v>250979.956</v>
      </c>
      <c r="D92" s="15" t="n">
        <v>9135317.613</v>
      </c>
      <c r="E92" s="15" t="n">
        <v>124.9</v>
      </c>
      <c r="F92" s="15" t="n">
        <v>1717.817013745429</v>
      </c>
      <c r="G92" s="16" t="inlineStr">
        <is>
          <t>pontos.txt — eixo fornecido</t>
        </is>
      </c>
    </row>
  </sheetData>
  <autoFilter ref="B6:G92"/>
  <mergeCells count="2">
    <mergeCell ref="B3:G3"/>
    <mergeCell ref="B2:G2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L8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16" customWidth="1" min="8" max="8"/>
    <col width="16" customWidth="1" min="9" max="9"/>
    <col width="18" customWidth="1" min="10" max="10"/>
    <col width="18" customWidth="1" min="11" max="11"/>
    <col width="52" customWidth="1" min="12" max="12"/>
  </cols>
  <sheetData>
    <row r="2" ht="28" customHeight="1">
      <c r="B2" s="1" t="inlineStr">
        <is>
          <t>Pontos coletados / PE3D</t>
        </is>
      </c>
    </row>
    <row r="3" ht="30" customHeight="1">
      <c r="B3" s="2" t="inlineStr">
        <is>
          <t>Coordenadas locais do arquivo original, translação estimada para o sistema do eixo, correspondência espacial preliminar e diferença de cota.</t>
        </is>
      </c>
    </row>
    <row r="5" ht="30" customHeight="1">
      <c r="B5" s="13" t="inlineStr">
        <is>
          <t>ID coletado</t>
        </is>
      </c>
      <c r="C5" s="13" t="inlineStr">
        <is>
          <t>X local (m)</t>
        </is>
      </c>
      <c r="D5" s="13" t="inlineStr">
        <is>
          <t>Y local (m)</t>
        </is>
      </c>
      <c r="E5" s="13" t="inlineStr">
        <is>
          <t>Z PE3D/coletada (m)</t>
        </is>
      </c>
      <c r="F5" s="13" t="inlineStr">
        <is>
          <t>X global estimado (m)</t>
        </is>
      </c>
      <c r="G5" s="13" t="inlineStr">
        <is>
          <t>Y global estimado (m)</t>
        </is>
      </c>
      <c r="H5" s="13" t="inlineStr">
        <is>
          <t>ID fornecido pareado</t>
        </is>
      </c>
      <c r="I5" s="13" t="inlineStr">
        <is>
          <t>Resíduo XY (m)</t>
        </is>
      </c>
      <c r="J5" s="13" t="inlineStr">
        <is>
          <t>Z fornecida (m)</t>
        </is>
      </c>
      <c r="K5" s="13" t="inlineStr">
        <is>
          <t>Diferença Z (m)</t>
        </is>
      </c>
      <c r="L5" s="13" t="inlineStr">
        <is>
          <t>Observação</t>
        </is>
      </c>
    </row>
    <row r="6">
      <c r="B6" s="14" t="n">
        <v>88</v>
      </c>
      <c r="C6" s="15" t="n">
        <v>329.6015</v>
      </c>
      <c r="D6" s="15" t="n">
        <v>1582.8514</v>
      </c>
      <c r="E6" s="15" t="n">
        <v>126.1783</v>
      </c>
      <c r="F6" s="15" t="n">
        <v>250916.6348</v>
      </c>
      <c r="G6" s="15" t="n">
        <v>9135112.937199999</v>
      </c>
      <c r="H6" s="14" t="n">
        <v>71</v>
      </c>
      <c r="I6" s="20" t="n">
        <v>0.0002828411824496753</v>
      </c>
      <c r="J6" s="15" t="n">
        <v>126.178</v>
      </c>
      <c r="K6" s="15" t="n">
        <v>0.0002999999999957481</v>
      </c>
      <c r="L6" s="16" t="inlineStr">
        <is>
          <t>Pareamento inicial por translação; confirmar no QGIS.</t>
        </is>
      </c>
    </row>
    <row r="7">
      <c r="B7" s="17" t="n">
        <v>89</v>
      </c>
      <c r="C7" s="18" t="n">
        <v>258.5273</v>
      </c>
      <c r="D7" s="18" t="n">
        <v>1703.4529</v>
      </c>
      <c r="E7" s="18" t="n">
        <v>126.3</v>
      </c>
      <c r="F7" s="18" t="n">
        <v>250845.5606</v>
      </c>
      <c r="G7" s="18" t="n">
        <v>9135233.538699999</v>
      </c>
      <c r="H7" s="17" t="n">
        <v>78</v>
      </c>
      <c r="I7" s="21" t="n">
        <v>0.0006708209717697154</v>
      </c>
      <c r="J7" s="18" t="n">
        <v>126.3</v>
      </c>
      <c r="K7" s="18" t="n">
        <v>0</v>
      </c>
      <c r="L7" s="19" t="inlineStr">
        <is>
          <t>Pareamento inicial por translação; confirmar no QGIS.</t>
        </is>
      </c>
    </row>
    <row r="8">
      <c r="B8" s="14" t="n">
        <v>90</v>
      </c>
      <c r="C8" s="15" t="n">
        <v>319.3554</v>
      </c>
      <c r="D8" s="15" t="n">
        <v>1600.0275</v>
      </c>
      <c r="E8" s="15" t="n">
        <v>126.2525</v>
      </c>
      <c r="F8" s="15" t="n">
        <v>250906.3887</v>
      </c>
      <c r="G8" s="15" t="n">
        <v>9135130.113299999</v>
      </c>
      <c r="H8" s="14" t="n">
        <v>72</v>
      </c>
      <c r="I8" s="20" t="n">
        <v>0.0007615770868961392</v>
      </c>
      <c r="J8" s="15" t="n">
        <v>126.253</v>
      </c>
      <c r="K8" s="22" t="n">
        <v>-0.0005000000000023874</v>
      </c>
      <c r="L8" s="16" t="inlineStr">
        <is>
          <t>Pareamento inicial por translação; confirmar no QGIS.</t>
        </is>
      </c>
    </row>
    <row r="9">
      <c r="B9" s="17" t="n">
        <v>91</v>
      </c>
      <c r="C9" s="18" t="n">
        <v>309.1093</v>
      </c>
      <c r="D9" s="18" t="n">
        <v>1617.2036</v>
      </c>
      <c r="E9" s="18" t="n">
        <v>126.41</v>
      </c>
      <c r="F9" s="18" t="n">
        <v>250896.1426</v>
      </c>
      <c r="G9" s="18" t="n">
        <v>9135147.2894</v>
      </c>
      <c r="H9" s="17" t="n">
        <v>73</v>
      </c>
      <c r="I9" s="21" t="n">
        <v>0.0007211098776744566</v>
      </c>
      <c r="J9" s="18" t="n">
        <v>126.41</v>
      </c>
      <c r="K9" s="18" t="n">
        <v>0</v>
      </c>
      <c r="L9" s="19" t="inlineStr">
        <is>
          <t>Pareamento inicial por translação; confirmar no QGIS.</t>
        </is>
      </c>
    </row>
    <row r="10">
      <c r="B10" s="14" t="n">
        <v>92</v>
      </c>
      <c r="C10" s="15" t="n">
        <v>298.8632</v>
      </c>
      <c r="D10" s="15" t="n">
        <v>1634.3796</v>
      </c>
      <c r="E10" s="15" t="n">
        <v>126.5075</v>
      </c>
      <c r="F10" s="15" t="n">
        <v>250885.8965</v>
      </c>
      <c r="G10" s="15" t="n">
        <v>9135164.465399999</v>
      </c>
      <c r="H10" s="14" t="n">
        <v>74</v>
      </c>
      <c r="I10" s="20" t="n">
        <v>0.0006403119723596985</v>
      </c>
      <c r="J10" s="15" t="n">
        <v>126.508</v>
      </c>
      <c r="K10" s="22" t="n">
        <v>-0.0005000000000023874</v>
      </c>
      <c r="L10" s="16" t="inlineStr">
        <is>
          <t>Pareamento inicial por translação; confirmar no QGIS.</t>
        </is>
      </c>
    </row>
    <row r="11">
      <c r="B11" s="17" t="n">
        <v>93</v>
      </c>
      <c r="C11" s="18" t="n">
        <v>288.617</v>
      </c>
      <c r="D11" s="18" t="n">
        <v>1651.5557</v>
      </c>
      <c r="E11" s="18" t="n">
        <v>126.57</v>
      </c>
      <c r="F11" s="18" t="n">
        <v>250875.6503</v>
      </c>
      <c r="G11" s="18" t="n">
        <v>9135181.6415</v>
      </c>
      <c r="H11" s="17" t="n">
        <v>75</v>
      </c>
      <c r="I11" s="21" t="n">
        <v>0.0005830960507216895</v>
      </c>
      <c r="J11" s="18" t="n">
        <v>126.57</v>
      </c>
      <c r="K11" s="18" t="n">
        <v>0</v>
      </c>
      <c r="L11" s="19" t="inlineStr">
        <is>
          <t>Pareamento inicial por translação; confirmar no QGIS.</t>
        </is>
      </c>
    </row>
    <row r="12">
      <c r="B12" s="14" t="n">
        <v>94</v>
      </c>
      <c r="C12" s="15" t="n">
        <v>278.3709</v>
      </c>
      <c r="D12" s="15" t="n">
        <v>1668.7318</v>
      </c>
      <c r="E12" s="15" t="n">
        <v>126.592</v>
      </c>
      <c r="F12" s="15" t="n">
        <v>250865.4042</v>
      </c>
      <c r="G12" s="15" t="n">
        <v>9135198.817599999</v>
      </c>
      <c r="H12" s="14" t="n">
        <v>76</v>
      </c>
      <c r="I12" s="20" t="n">
        <v>0.0004472146449764622</v>
      </c>
      <c r="J12" s="15" t="n">
        <v>126.592</v>
      </c>
      <c r="K12" s="15" t="n">
        <v>0</v>
      </c>
      <c r="L12" s="16" t="inlineStr">
        <is>
          <t>Pareamento inicial por translação; confirmar no QGIS.</t>
        </is>
      </c>
    </row>
    <row r="13">
      <c r="B13" s="17" t="n">
        <v>95</v>
      </c>
      <c r="C13" s="18" t="n">
        <v>268.1248</v>
      </c>
      <c r="D13" s="18" t="n">
        <v>1685.9078</v>
      </c>
      <c r="E13" s="18" t="n">
        <v>126.505</v>
      </c>
      <c r="F13" s="18" t="n">
        <v>250855.1581</v>
      </c>
      <c r="G13" s="18" t="n">
        <v>9135215.9936</v>
      </c>
      <c r="H13" s="17" t="n">
        <v>77</v>
      </c>
      <c r="I13" s="21" t="n">
        <v>0.0004123117044813819</v>
      </c>
      <c r="J13" s="18" t="n">
        <v>126.505</v>
      </c>
      <c r="K13" s="18" t="n">
        <v>0</v>
      </c>
      <c r="L13" s="19" t="inlineStr">
        <is>
          <t>Pareamento inicial por translação; confirmar no QGIS.</t>
        </is>
      </c>
    </row>
    <row r="14">
      <c r="B14" s="14" t="n">
        <v>96</v>
      </c>
      <c r="C14" s="15" t="n">
        <v>248.9977</v>
      </c>
      <c r="D14" s="15" t="n">
        <v>1721.0366</v>
      </c>
      <c r="E14" s="15" t="n">
        <v>125.88</v>
      </c>
      <c r="F14" s="15" t="n">
        <v>250836.031</v>
      </c>
      <c r="G14" s="15" t="n">
        <v>9135251.122399999</v>
      </c>
      <c r="H14" s="14" t="n">
        <v>79</v>
      </c>
      <c r="I14" s="20" t="n">
        <v>0.0003999993205070496</v>
      </c>
      <c r="J14" s="15" t="n">
        <v>125.88</v>
      </c>
      <c r="K14" s="15" t="n">
        <v>0</v>
      </c>
      <c r="L14" s="16" t="inlineStr">
        <is>
          <t>Pareamento inicial por translação; confirmar no QGIS.</t>
        </is>
      </c>
    </row>
    <row r="15">
      <c r="B15" s="17" t="n">
        <v>97</v>
      </c>
      <c r="C15" s="18" t="n">
        <v>324.5936</v>
      </c>
      <c r="D15" s="18" t="n">
        <v>539.0589</v>
      </c>
      <c r="E15" s="18" t="n">
        <v>152.0595</v>
      </c>
      <c r="F15" s="18" t="n">
        <v>250911.6269</v>
      </c>
      <c r="G15" s="18" t="n">
        <v>9134069.1447</v>
      </c>
      <c r="H15" s="17" t="n">
        <v>15</v>
      </c>
      <c r="I15" s="21" t="n">
        <v>0.0003162272932546276</v>
      </c>
      <c r="J15" s="18" t="n">
        <v>152.06</v>
      </c>
      <c r="K15" s="22" t="n">
        <v>-0.0004999999999881766</v>
      </c>
      <c r="L15" s="19" t="inlineStr">
        <is>
          <t>Pareamento inicial por translação; confirmar no QGIS.</t>
        </is>
      </c>
    </row>
    <row r="16">
      <c r="B16" s="14" t="n">
        <v>98</v>
      </c>
      <c r="C16" s="15" t="n">
        <v>326.8826</v>
      </c>
      <c r="D16" s="15" t="n">
        <v>558.9275</v>
      </c>
      <c r="E16" s="15" t="n">
        <v>151.82</v>
      </c>
      <c r="F16" s="15" t="n">
        <v>250913.9159</v>
      </c>
      <c r="G16" s="15" t="n">
        <v>9134089.0133</v>
      </c>
      <c r="H16" s="14" t="n">
        <v>16</v>
      </c>
      <c r="I16" s="20" t="n">
        <v>0.0003162272840511727</v>
      </c>
      <c r="J16" s="15" t="n">
        <v>151.82</v>
      </c>
      <c r="K16" s="15" t="n">
        <v>0</v>
      </c>
      <c r="L16" s="16" t="inlineStr">
        <is>
          <t>Pareamento inicial por translação; confirmar no QGIS.</t>
        </is>
      </c>
    </row>
    <row r="17">
      <c r="B17" s="17" t="n">
        <v>99</v>
      </c>
      <c r="C17" s="18" t="n">
        <v>327.9693</v>
      </c>
      <c r="D17" s="18" t="n">
        <v>578.8902</v>
      </c>
      <c r="E17" s="18" t="n">
        <v>151.615</v>
      </c>
      <c r="F17" s="18" t="n">
        <v>250915.0026</v>
      </c>
      <c r="G17" s="18" t="n">
        <v>9134108.976</v>
      </c>
      <c r="H17" s="17" t="n">
        <v>17</v>
      </c>
      <c r="I17" s="21" t="n">
        <v>0.0005999999702908099</v>
      </c>
      <c r="J17" s="18" t="n">
        <v>151.615</v>
      </c>
      <c r="K17" s="18" t="n">
        <v>0</v>
      </c>
      <c r="L17" s="19" t="inlineStr">
        <is>
          <t>Pareamento inicial por translação; confirmar no QGIS.</t>
        </is>
      </c>
    </row>
    <row r="18">
      <c r="B18" s="14" t="n">
        <v>100</v>
      </c>
      <c r="C18" s="15" t="n">
        <v>328.8016</v>
      </c>
      <c r="D18" s="15" t="n">
        <v>598.8729</v>
      </c>
      <c r="E18" s="15" t="n">
        <v>151.69</v>
      </c>
      <c r="F18" s="15" t="n">
        <v>250915.8349</v>
      </c>
      <c r="G18" s="15" t="n">
        <v>9134128.958699999</v>
      </c>
      <c r="H18" s="14" t="n">
        <v>18</v>
      </c>
      <c r="I18" s="20" t="n">
        <v>0.000316229051111756</v>
      </c>
      <c r="J18" s="15" t="n">
        <v>151.69</v>
      </c>
      <c r="K18" s="15" t="n">
        <v>0</v>
      </c>
      <c r="L18" s="16" t="inlineStr">
        <is>
          <t>Pareamento inicial por translação; confirmar no QGIS.</t>
        </is>
      </c>
    </row>
    <row r="19">
      <c r="B19" s="17" t="n">
        <v>101</v>
      </c>
      <c r="C19" s="18" t="n">
        <v>329.6338</v>
      </c>
      <c r="D19" s="18" t="n">
        <v>618.8556</v>
      </c>
      <c r="E19" s="18" t="n">
        <v>151.875</v>
      </c>
      <c r="F19" s="18" t="n">
        <v>250916.6671</v>
      </c>
      <c r="G19" s="18" t="n">
        <v>9134148.941399999</v>
      </c>
      <c r="H19" s="17" t="n">
        <v>19</v>
      </c>
      <c r="I19" s="21" t="n">
        <v>0.0004123099045087935</v>
      </c>
      <c r="J19" s="18" t="n">
        <v>151.875</v>
      </c>
      <c r="K19" s="18" t="n">
        <v>0</v>
      </c>
      <c r="L19" s="19" t="inlineStr">
        <is>
          <t>Pareamento inicial por translação; confirmar no QGIS.</t>
        </is>
      </c>
    </row>
    <row r="20">
      <c r="B20" s="14" t="n">
        <v>102</v>
      </c>
      <c r="C20" s="15" t="n">
        <v>329.9939</v>
      </c>
      <c r="D20" s="15" t="n">
        <v>638.8514</v>
      </c>
      <c r="E20" s="15" t="n">
        <v>152.195</v>
      </c>
      <c r="F20" s="15" t="n">
        <v>250917.0272</v>
      </c>
      <c r="G20" s="15" t="n">
        <v>9134168.937199999</v>
      </c>
      <c r="H20" s="14" t="n">
        <v>20</v>
      </c>
      <c r="I20" s="20" t="n">
        <v>0.000282841141290416</v>
      </c>
      <c r="J20" s="15" t="n">
        <v>152.195</v>
      </c>
      <c r="K20" s="15" t="n">
        <v>0</v>
      </c>
      <c r="L20" s="16" t="inlineStr">
        <is>
          <t>Pareamento inicial por translação; confirmar no QGIS.</t>
        </is>
      </c>
    </row>
    <row r="21">
      <c r="B21" s="17" t="n">
        <v>103</v>
      </c>
      <c r="C21" s="18" t="n">
        <v>330.2723</v>
      </c>
      <c r="D21" s="18" t="n">
        <v>658.8493999999999</v>
      </c>
      <c r="E21" s="18" t="n">
        <v>152.5675</v>
      </c>
      <c r="F21" s="18" t="n">
        <v>250917.3056</v>
      </c>
      <c r="G21" s="18" t="n">
        <v>9134188.9352</v>
      </c>
      <c r="H21" s="17" t="n">
        <v>21</v>
      </c>
      <c r="I21" s="21" t="n">
        <v>0.0006324554240221944</v>
      </c>
      <c r="J21" s="18" t="n">
        <v>152.568</v>
      </c>
      <c r="K21" s="22" t="n">
        <v>-0.0005000000000165983</v>
      </c>
      <c r="L21" s="19" t="inlineStr">
        <is>
          <t>Pareamento inicial por translação; confirmar no QGIS.</t>
        </is>
      </c>
    </row>
    <row r="22">
      <c r="B22" s="14" t="n">
        <v>104</v>
      </c>
      <c r="C22" s="15" t="n">
        <v>330.5508</v>
      </c>
      <c r="D22" s="15" t="n">
        <v>678.8475</v>
      </c>
      <c r="E22" s="15" t="n">
        <v>153.21</v>
      </c>
      <c r="F22" s="15" t="n">
        <v>250917.5841</v>
      </c>
      <c r="G22" s="15" t="n">
        <v>9134208.9333</v>
      </c>
      <c r="H22" s="14" t="n">
        <v>22</v>
      </c>
      <c r="I22" s="20" t="n">
        <v>0.0003162272748477201</v>
      </c>
      <c r="J22" s="15" t="n">
        <v>153.21</v>
      </c>
      <c r="K22" s="15" t="n">
        <v>0</v>
      </c>
      <c r="L22" s="16" t="inlineStr">
        <is>
          <t>Pareamento inicial por translação; confirmar no QGIS.</t>
        </is>
      </c>
    </row>
    <row r="23">
      <c r="B23" s="17" t="n">
        <v>105</v>
      </c>
      <c r="C23" s="18" t="n">
        <v>331.7279</v>
      </c>
      <c r="D23" s="18" t="n">
        <v>698.8077</v>
      </c>
      <c r="E23" s="18" t="n">
        <v>153.95</v>
      </c>
      <c r="F23" s="18" t="n">
        <v>250918.7612</v>
      </c>
      <c r="G23" s="18" t="n">
        <v>9134228.8935</v>
      </c>
      <c r="H23" s="17" t="n">
        <v>23</v>
      </c>
      <c r="I23" s="21" t="n">
        <v>0.0005385156848159556</v>
      </c>
      <c r="J23" s="18" t="n">
        <v>153.95</v>
      </c>
      <c r="K23" s="18" t="n">
        <v>0</v>
      </c>
      <c r="L23" s="19" t="inlineStr">
        <is>
          <t>Pareamento inicial por translação; confirmar no QGIS.</t>
        </is>
      </c>
    </row>
    <row r="24">
      <c r="B24" s="14" t="n">
        <v>106</v>
      </c>
      <c r="C24" s="15" t="n">
        <v>333.1323</v>
      </c>
      <c r="D24" s="15" t="n">
        <v>718.7583</v>
      </c>
      <c r="E24" s="15" t="n">
        <v>154.5175</v>
      </c>
      <c r="F24" s="15" t="n">
        <v>250920.1656</v>
      </c>
      <c r="G24" s="15" t="n">
        <v>9134248.8441</v>
      </c>
      <c r="H24" s="14" t="n">
        <v>24</v>
      </c>
      <c r="I24" s="20" t="n">
        <v>0.0006082761957978909</v>
      </c>
      <c r="J24" s="15" t="n">
        <v>154.518</v>
      </c>
      <c r="K24" s="22" t="n">
        <v>-0.0004999999999881766</v>
      </c>
      <c r="L24" s="16" t="inlineStr">
        <is>
          <t>Pareamento inicial por translação; confirmar no QGIS.</t>
        </is>
      </c>
    </row>
    <row r="25">
      <c r="B25" s="17" t="n">
        <v>107</v>
      </c>
      <c r="C25" s="18" t="n">
        <v>334.5367</v>
      </c>
      <c r="D25" s="18" t="n">
        <v>738.7089999999999</v>
      </c>
      <c r="E25" s="18" t="n">
        <v>154.6175</v>
      </c>
      <c r="F25" s="18" t="n">
        <v>250921.57</v>
      </c>
      <c r="G25" s="18" t="n">
        <v>9134268.7948</v>
      </c>
      <c r="H25" s="17" t="n">
        <v>25</v>
      </c>
      <c r="I25" s="21" t="n">
        <v>0.0001999996602535269</v>
      </c>
      <c r="J25" s="18" t="n">
        <v>154.618</v>
      </c>
      <c r="K25" s="22" t="n">
        <v>-0.0004999999999881766</v>
      </c>
      <c r="L25" s="19" t="inlineStr">
        <is>
          <t>Pareamento inicial por translação; confirmar no QGIS.</t>
        </is>
      </c>
    </row>
    <row r="26">
      <c r="B26" s="14" t="n">
        <v>108</v>
      </c>
      <c r="C26" s="15" t="n">
        <v>334.9453</v>
      </c>
      <c r="D26" s="15" t="n">
        <v>758.6983</v>
      </c>
      <c r="E26" s="15" t="n">
        <v>154.34</v>
      </c>
      <c r="F26" s="15" t="n">
        <v>250921.9786</v>
      </c>
      <c r="G26" s="15" t="n">
        <v>9134288.7841</v>
      </c>
      <c r="H26" s="14" t="n">
        <v>26</v>
      </c>
      <c r="I26" s="20" t="n">
        <v>0.0006082761957978909</v>
      </c>
      <c r="J26" s="15" t="n">
        <v>154.34</v>
      </c>
      <c r="K26" s="15" t="n">
        <v>0</v>
      </c>
      <c r="L26" s="16" t="inlineStr">
        <is>
          <t>Pareamento inicial por translação; confirmar no QGIS.</t>
        </is>
      </c>
    </row>
    <row r="27">
      <c r="B27" s="17" t="n">
        <v>109</v>
      </c>
      <c r="C27" s="18" t="n">
        <v>335.0915</v>
      </c>
      <c r="D27" s="18" t="n">
        <v>778.6977000000001</v>
      </c>
      <c r="E27" s="18" t="n">
        <v>153.85</v>
      </c>
      <c r="F27" s="18" t="n">
        <v>250922.1248</v>
      </c>
      <c r="G27" s="18" t="n">
        <v>9134308.783499999</v>
      </c>
      <c r="H27" s="17" t="n">
        <v>27</v>
      </c>
      <c r="I27" s="21" t="n">
        <v>0.0005385174250474948</v>
      </c>
      <c r="J27" s="18" t="n">
        <v>153.85</v>
      </c>
      <c r="K27" s="18" t="n">
        <v>0</v>
      </c>
      <c r="L27" s="19" t="inlineStr">
        <is>
          <t>Pareamento inicial por translação; confirmar no QGIS.</t>
        </is>
      </c>
    </row>
    <row r="28">
      <c r="B28" s="14" t="n">
        <v>110</v>
      </c>
      <c r="C28" s="15" t="n">
        <v>335.2394</v>
      </c>
      <c r="D28" s="15" t="n">
        <v>798.6972</v>
      </c>
      <c r="E28" s="15" t="n">
        <v>153.2667</v>
      </c>
      <c r="F28" s="15" t="n">
        <v>250922.2727</v>
      </c>
      <c r="G28" s="15" t="n">
        <v>9134328.783</v>
      </c>
      <c r="H28" s="14" t="n">
        <v>28</v>
      </c>
      <c r="I28" s="20" t="n">
        <v>0.000699999975040555</v>
      </c>
      <c r="J28" s="15" t="n">
        <v>153.267</v>
      </c>
      <c r="K28" s="15" t="n">
        <v>-0.000300000000009959</v>
      </c>
      <c r="L28" s="16" t="inlineStr">
        <is>
          <t>Pareamento inicial por translação; confirmar no QGIS.</t>
        </is>
      </c>
    </row>
    <row r="29">
      <c r="B29" s="17" t="n">
        <v>111</v>
      </c>
      <c r="C29" s="18" t="n">
        <v>335.4456</v>
      </c>
      <c r="D29" s="18" t="n">
        <v>818.6961</v>
      </c>
      <c r="E29" s="18" t="n">
        <v>152.36</v>
      </c>
      <c r="F29" s="18" t="n">
        <v>250922.4789</v>
      </c>
      <c r="G29" s="18" t="n">
        <v>9134348.7819</v>
      </c>
      <c r="H29" s="17" t="n">
        <v>29</v>
      </c>
      <c r="I29" s="21" t="n">
        <v>0.0001414212394774221</v>
      </c>
      <c r="J29" s="18" t="n">
        <v>152.36</v>
      </c>
      <c r="K29" s="18" t="n">
        <v>0</v>
      </c>
      <c r="L29" s="19" t="inlineStr">
        <is>
          <t>Pareamento inicial por translação; confirmar no QGIS.</t>
        </is>
      </c>
    </row>
    <row r="30">
      <c r="B30" s="14" t="n">
        <v>112</v>
      </c>
      <c r="C30" s="15" t="n">
        <v>335.6518</v>
      </c>
      <c r="D30" s="15" t="n">
        <v>838.6950000000001</v>
      </c>
      <c r="E30" s="15" t="n">
        <v>151.48</v>
      </c>
      <c r="F30" s="15" t="n">
        <v>250922.6851</v>
      </c>
      <c r="G30" s="15" t="n">
        <v>9134368.7808</v>
      </c>
      <c r="H30" s="14" t="n">
        <v>30</v>
      </c>
      <c r="I30" s="20" t="n">
        <v>0.0002236064829800533</v>
      </c>
      <c r="J30" s="15" t="n">
        <v>151.48</v>
      </c>
      <c r="K30" s="15" t="n">
        <v>0</v>
      </c>
      <c r="L30" s="16" t="inlineStr">
        <is>
          <t>Pareamento inicial por translação; confirmar no QGIS.</t>
        </is>
      </c>
    </row>
    <row r="31">
      <c r="B31" s="17" t="n">
        <v>113</v>
      </c>
      <c r="C31" s="18" t="n">
        <v>335.8581</v>
      </c>
      <c r="D31" s="18" t="n">
        <v>858.694</v>
      </c>
      <c r="E31" s="18" t="n">
        <v>150.8325</v>
      </c>
      <c r="F31" s="18" t="n">
        <v>250922.8914</v>
      </c>
      <c r="G31" s="18" t="n">
        <v>9134388.7798</v>
      </c>
      <c r="H31" s="17" t="n">
        <v>31</v>
      </c>
      <c r="I31" s="21" t="n">
        <v>0.0004472134345227628</v>
      </c>
      <c r="J31" s="18" t="n">
        <v>150.833</v>
      </c>
      <c r="K31" s="22" t="n">
        <v>-0.0004999999999881766</v>
      </c>
      <c r="L31" s="19" t="inlineStr">
        <is>
          <t>Pareamento inicial por translação; confirmar no QGIS.</t>
        </is>
      </c>
    </row>
    <row r="32">
      <c r="B32" s="14" t="n">
        <v>114</v>
      </c>
      <c r="C32" s="15" t="n">
        <v>336.4504</v>
      </c>
      <c r="D32" s="15" t="n">
        <v>878.6852</v>
      </c>
      <c r="E32" s="15" t="n">
        <v>150.194</v>
      </c>
      <c r="F32" s="15" t="n">
        <v>250923.4837</v>
      </c>
      <c r="G32" s="15" t="n">
        <v>9134408.771</v>
      </c>
      <c r="H32" s="14" t="n">
        <v>32</v>
      </c>
      <c r="I32" s="20" t="n">
        <v>0.000699999975040555</v>
      </c>
      <c r="J32" s="15" t="n">
        <v>150.194</v>
      </c>
      <c r="K32" s="15" t="n">
        <v>0</v>
      </c>
      <c r="L32" s="16" t="inlineStr">
        <is>
          <t>Pareamento inicial por translação; confirmar no QGIS.</t>
        </is>
      </c>
    </row>
    <row r="33">
      <c r="B33" s="17" t="n">
        <v>115</v>
      </c>
      <c r="C33" s="18" t="n">
        <v>337.0477</v>
      </c>
      <c r="D33" s="18" t="n">
        <v>898.6762</v>
      </c>
      <c r="E33" s="18" t="n">
        <v>149.57</v>
      </c>
      <c r="F33" s="18" t="n">
        <v>250924.081</v>
      </c>
      <c r="G33" s="18" t="n">
        <v>9134428.762</v>
      </c>
      <c r="H33" s="17" t="n">
        <v>33</v>
      </c>
      <c r="I33" s="21" t="n">
        <v>2.91038304567337e-11</v>
      </c>
      <c r="J33" s="18" t="n">
        <v>149.57</v>
      </c>
      <c r="K33" s="18" t="n">
        <v>0</v>
      </c>
      <c r="L33" s="19" t="inlineStr">
        <is>
          <t>Pareamento inicial por translação; confirmar no QGIS.</t>
        </is>
      </c>
    </row>
    <row r="34">
      <c r="B34" s="14" t="n">
        <v>116</v>
      </c>
      <c r="C34" s="15" t="n">
        <v>337.645</v>
      </c>
      <c r="D34" s="15" t="n">
        <v>918.6673</v>
      </c>
      <c r="E34" s="15" t="n">
        <v>148.895</v>
      </c>
      <c r="F34" s="15" t="n">
        <v>250924.6783</v>
      </c>
      <c r="G34" s="15" t="n">
        <v>9134448.7531</v>
      </c>
      <c r="H34" s="14" t="n">
        <v>34</v>
      </c>
      <c r="I34" s="20" t="n">
        <v>0.0003162276705956137</v>
      </c>
      <c r="J34" s="15" t="n">
        <v>148.895</v>
      </c>
      <c r="K34" s="15" t="n">
        <v>0</v>
      </c>
      <c r="L34" s="16" t="inlineStr">
        <is>
          <t>Pareamento inicial por translação; confirmar no QGIS.</t>
        </is>
      </c>
    </row>
    <row r="35">
      <c r="B35" s="17" t="n">
        <v>117</v>
      </c>
      <c r="C35" s="18" t="n">
        <v>339.4566</v>
      </c>
      <c r="D35" s="18" t="n">
        <v>938.5758</v>
      </c>
      <c r="E35" s="18" t="n">
        <v>147.865</v>
      </c>
      <c r="F35" s="18" t="n">
        <v>250926.4899</v>
      </c>
      <c r="G35" s="18" t="n">
        <v>9134468.661599999</v>
      </c>
      <c r="H35" s="17" t="n">
        <v>35</v>
      </c>
      <c r="I35" s="21" t="n">
        <v>0.0004123117115400773</v>
      </c>
      <c r="J35" s="18" t="n">
        <v>147.865</v>
      </c>
      <c r="K35" s="18" t="n">
        <v>0</v>
      </c>
      <c r="L35" s="19" t="inlineStr">
        <is>
          <t>Pareamento inicial por translação; confirmar no QGIS.</t>
        </is>
      </c>
    </row>
    <row r="36">
      <c r="B36" s="14" t="n">
        <v>118</v>
      </c>
      <c r="C36" s="15" t="n">
        <v>341.5704</v>
      </c>
      <c r="D36" s="15" t="n">
        <v>958.4638</v>
      </c>
      <c r="E36" s="15" t="n">
        <v>147.035</v>
      </c>
      <c r="F36" s="15" t="n">
        <v>250928.6037</v>
      </c>
      <c r="G36" s="15" t="n">
        <v>9134488.5496</v>
      </c>
      <c r="H36" s="14" t="n">
        <v>36</v>
      </c>
      <c r="I36" s="20" t="n">
        <v>0.0008062263401675342</v>
      </c>
      <c r="J36" s="15" t="n">
        <v>147.035</v>
      </c>
      <c r="K36" s="15" t="n">
        <v>0</v>
      </c>
      <c r="L36" s="16" t="inlineStr">
        <is>
          <t>Pareamento inicial por translação; confirmar no QGIS.</t>
        </is>
      </c>
    </row>
    <row r="37">
      <c r="B37" s="17" t="n">
        <v>119</v>
      </c>
      <c r="C37" s="18" t="n">
        <v>343.6843</v>
      </c>
      <c r="D37" s="18" t="n">
        <v>978.3518</v>
      </c>
      <c r="E37" s="18" t="n">
        <v>146.31</v>
      </c>
      <c r="F37" s="18" t="n">
        <v>250930.7176</v>
      </c>
      <c r="G37" s="18" t="n">
        <v>9134508.4376</v>
      </c>
      <c r="H37" s="17" t="n">
        <v>37</v>
      </c>
      <c r="I37" s="21" t="n">
        <v>0.0007211098534585935</v>
      </c>
      <c r="J37" s="18" t="n">
        <v>146.31</v>
      </c>
      <c r="K37" s="18" t="n">
        <v>0</v>
      </c>
      <c r="L37" s="19" t="inlineStr">
        <is>
          <t>Pareamento inicial por translação; confirmar no QGIS.</t>
        </is>
      </c>
    </row>
    <row r="38">
      <c r="B38" s="14" t="n">
        <v>120</v>
      </c>
      <c r="C38" s="15" t="n">
        <v>382.3182</v>
      </c>
      <c r="D38" s="15" t="n">
        <v>1048.0159</v>
      </c>
      <c r="E38" s="15" t="n">
        <v>142.695</v>
      </c>
      <c r="F38" s="15" t="n">
        <v>250969.3515</v>
      </c>
      <c r="G38" s="15" t="n">
        <v>9134578.1017</v>
      </c>
      <c r="H38" s="14" t="n">
        <v>41</v>
      </c>
      <c r="I38" s="20" t="n">
        <v>0.0005830949226955482</v>
      </c>
      <c r="J38" s="15" t="n">
        <v>142.695</v>
      </c>
      <c r="K38" s="15" t="n">
        <v>0</v>
      </c>
      <c r="L38" s="16" t="inlineStr">
        <is>
          <t>Pareamento inicial por translação; confirmar no QGIS.</t>
        </is>
      </c>
    </row>
    <row r="39">
      <c r="B39" s="17" t="n">
        <v>121</v>
      </c>
      <c r="C39" s="18" t="n">
        <v>391.7393</v>
      </c>
      <c r="D39" s="18" t="n">
        <v>1065.658</v>
      </c>
      <c r="E39" s="18" t="n">
        <v>141.4175</v>
      </c>
      <c r="F39" s="18" t="n">
        <v>250978.7726</v>
      </c>
      <c r="G39" s="18" t="n">
        <v>9134595.743799999</v>
      </c>
      <c r="H39" s="17" t="n">
        <v>42</v>
      </c>
      <c r="I39" s="21" t="n">
        <v>0.0006324559854335806</v>
      </c>
      <c r="J39" s="18" t="n">
        <v>141.418</v>
      </c>
      <c r="K39" s="22" t="n">
        <v>-0.0005000000000165983</v>
      </c>
      <c r="L39" s="19" t="inlineStr">
        <is>
          <t>Pareamento inicial por translação; confirmar no QGIS.</t>
        </is>
      </c>
    </row>
    <row r="40">
      <c r="B40" s="14" t="n">
        <v>122</v>
      </c>
      <c r="C40" s="15" t="n">
        <v>401.1604</v>
      </c>
      <c r="D40" s="15" t="n">
        <v>1083.3001</v>
      </c>
      <c r="E40" s="15" t="n">
        <v>140.3</v>
      </c>
      <c r="F40" s="15" t="n">
        <v>250988.1937</v>
      </c>
      <c r="G40" s="15" t="n">
        <v>9134613.3859</v>
      </c>
      <c r="H40" s="14" t="n">
        <v>43</v>
      </c>
      <c r="I40" s="20" t="n">
        <v>0.0007071067324542731</v>
      </c>
      <c r="J40" s="15" t="n">
        <v>140.3</v>
      </c>
      <c r="K40" s="15" t="n">
        <v>0</v>
      </c>
      <c r="L40" s="16" t="inlineStr">
        <is>
          <t>Pareamento inicial por translação; confirmar no QGIS.</t>
        </is>
      </c>
    </row>
    <row r="41">
      <c r="B41" s="17" t="n">
        <v>123</v>
      </c>
      <c r="C41" s="18" t="n">
        <v>410.5815</v>
      </c>
      <c r="D41" s="18" t="n">
        <v>1100.9421</v>
      </c>
      <c r="E41" s="18" t="n">
        <v>139.3086</v>
      </c>
      <c r="F41" s="18" t="n">
        <v>250997.6148</v>
      </c>
      <c r="G41" s="18" t="n">
        <v>9134631.027899999</v>
      </c>
      <c r="H41" s="17" t="n">
        <v>44</v>
      </c>
      <c r="I41" s="21" t="n">
        <v>0.0002236075632822915</v>
      </c>
      <c r="J41" s="18" t="n">
        <v>139.309</v>
      </c>
      <c r="K41" s="18" t="n">
        <v>-0.0003999999999848569</v>
      </c>
      <c r="L41" s="19" t="inlineStr">
        <is>
          <t>Pareamento inicial por translação; confirmar no QGIS.</t>
        </is>
      </c>
    </row>
    <row r="42">
      <c r="B42" s="14" t="n">
        <v>124</v>
      </c>
      <c r="C42" s="15" t="n">
        <v>420.7933</v>
      </c>
      <c r="D42" s="15" t="n">
        <v>1118.0478</v>
      </c>
      <c r="E42" s="15" t="n">
        <v>138.16</v>
      </c>
      <c r="F42" s="15" t="n">
        <v>251007.8266</v>
      </c>
      <c r="G42" s="15" t="n">
        <v>9134648.1336</v>
      </c>
      <c r="H42" s="14" t="n">
        <v>45</v>
      </c>
      <c r="I42" s="20" t="n">
        <v>0.0007211098534585935</v>
      </c>
      <c r="J42" s="15" t="n">
        <v>138.16</v>
      </c>
      <c r="K42" s="15" t="n">
        <v>0</v>
      </c>
      <c r="L42" s="16" t="inlineStr">
        <is>
          <t>Pareamento inicial por translação; confirmar no QGIS.</t>
        </is>
      </c>
    </row>
    <row r="43">
      <c r="B43" s="17" t="n">
        <v>125</v>
      </c>
      <c r="C43" s="18" t="n">
        <v>433.7032</v>
      </c>
      <c r="D43" s="18" t="n">
        <v>1133.3231</v>
      </c>
      <c r="E43" s="18" t="n">
        <v>137.1075</v>
      </c>
      <c r="F43" s="18" t="n">
        <v>251020.7365</v>
      </c>
      <c r="G43" s="18" t="n">
        <v>9134663.4089</v>
      </c>
      <c r="H43" s="17" t="n">
        <v>46</v>
      </c>
      <c r="I43" s="21" t="n">
        <v>0.0005099018842546547</v>
      </c>
      <c r="J43" s="18" t="n">
        <v>137.108</v>
      </c>
      <c r="K43" s="22" t="n">
        <v>-0.0005000000000165983</v>
      </c>
      <c r="L43" s="19" t="inlineStr">
        <is>
          <t>Pareamento inicial por translação; confirmar no QGIS.</t>
        </is>
      </c>
    </row>
    <row r="44">
      <c r="B44" s="14" t="n">
        <v>126</v>
      </c>
      <c r="C44" s="15" t="n">
        <v>352.1926</v>
      </c>
      <c r="D44" s="15" t="n">
        <v>996.1328</v>
      </c>
      <c r="E44" s="15" t="n">
        <v>145.58</v>
      </c>
      <c r="F44" s="15" t="n">
        <v>250939.2259</v>
      </c>
      <c r="G44" s="15" t="n">
        <v>9134526.218599999</v>
      </c>
      <c r="H44" s="14" t="n">
        <v>38</v>
      </c>
      <c r="I44" s="20" t="n">
        <v>0.0004123117115400773</v>
      </c>
      <c r="J44" s="15" t="n">
        <v>145.58</v>
      </c>
      <c r="K44" s="15" t="n">
        <v>0</v>
      </c>
      <c r="L44" s="16" t="inlineStr">
        <is>
          <t>Pareamento inicial por translação; confirmar no QGIS.</t>
        </is>
      </c>
    </row>
    <row r="45">
      <c r="B45" s="17" t="n">
        <v>127</v>
      </c>
      <c r="C45" s="18" t="n">
        <v>446.6131</v>
      </c>
      <c r="D45" s="18" t="n">
        <v>1148.5984</v>
      </c>
      <c r="E45" s="18" t="n">
        <v>136.575</v>
      </c>
      <c r="F45" s="18" t="n">
        <v>251033.6464</v>
      </c>
      <c r="G45" s="18" t="n">
        <v>9134678.6842</v>
      </c>
      <c r="H45" s="17" t="n">
        <v>47</v>
      </c>
      <c r="I45" s="21" t="n">
        <v>0.000447213408491497</v>
      </c>
      <c r="J45" s="18" t="n">
        <v>136.575</v>
      </c>
      <c r="K45" s="18" t="n">
        <v>0</v>
      </c>
      <c r="L45" s="19" t="inlineStr">
        <is>
          <t>Pareamento inicial por translação; confirmar no QGIS.</t>
        </is>
      </c>
    </row>
    <row r="46">
      <c r="B46" s="14" t="n">
        <v>128</v>
      </c>
      <c r="C46" s="15" t="n">
        <v>362.3152</v>
      </c>
      <c r="D46" s="15" t="n">
        <v>1013.382</v>
      </c>
      <c r="E46" s="15" t="n">
        <v>144.73</v>
      </c>
      <c r="F46" s="15" t="n">
        <v>250949.3485</v>
      </c>
      <c r="G46" s="15" t="n">
        <v>9134543.467799999</v>
      </c>
      <c r="H46" s="14" t="n">
        <v>39</v>
      </c>
      <c r="I46" s="20" t="n">
        <v>0.0005385170413335905</v>
      </c>
      <c r="J46" s="15" t="n">
        <v>144.73</v>
      </c>
      <c r="K46" s="15" t="n">
        <v>0</v>
      </c>
      <c r="L46" s="16" t="inlineStr">
        <is>
          <t>Pareamento inicial por translação; confirmar no QGIS.</t>
        </is>
      </c>
    </row>
    <row r="47">
      <c r="B47" s="17" t="n">
        <v>129</v>
      </c>
      <c r="C47" s="18" t="n">
        <v>457.73</v>
      </c>
      <c r="D47" s="18" t="n">
        <v>1165.0232</v>
      </c>
      <c r="E47" s="18" t="n">
        <v>136.26</v>
      </c>
      <c r="F47" s="18" t="n">
        <v>251044.7633</v>
      </c>
      <c r="G47" s="18" t="n">
        <v>9134695.108999999</v>
      </c>
      <c r="H47" s="17" t="n">
        <v>48</v>
      </c>
      <c r="I47" s="21" t="n">
        <v>0.0002999999851454049</v>
      </c>
      <c r="J47" s="18" t="n">
        <v>136.26</v>
      </c>
      <c r="K47" s="18" t="n">
        <v>0</v>
      </c>
      <c r="L47" s="19" t="inlineStr">
        <is>
          <t>Pareamento inicial por translação; confirmar no QGIS.</t>
        </is>
      </c>
    </row>
    <row r="48">
      <c r="B48" s="14" t="n">
        <v>130</v>
      </c>
      <c r="C48" s="15" t="n">
        <v>372.4378</v>
      </c>
      <c r="D48" s="15" t="n">
        <v>1030.6311</v>
      </c>
      <c r="E48" s="15" t="n">
        <v>143.58</v>
      </c>
      <c r="F48" s="15" t="n">
        <v>250959.4711</v>
      </c>
      <c r="G48" s="15" t="n">
        <v>9134560.7169</v>
      </c>
      <c r="H48" s="14" t="n">
        <v>40</v>
      </c>
      <c r="I48" s="20" t="n">
        <v>0.0001414212394774221</v>
      </c>
      <c r="J48" s="15" t="n">
        <v>143.58</v>
      </c>
      <c r="K48" s="15" t="n">
        <v>0</v>
      </c>
      <c r="L48" s="16" t="inlineStr">
        <is>
          <t>Pareamento inicial por translação; confirmar no QGIS.</t>
        </is>
      </c>
    </row>
    <row r="49">
      <c r="B49" s="17" t="n">
        <v>131</v>
      </c>
      <c r="C49" s="18" t="n">
        <v>466.2224</v>
      </c>
      <c r="D49" s="18" t="n">
        <v>1183.1307</v>
      </c>
      <c r="E49" s="18" t="n">
        <v>135.875</v>
      </c>
      <c r="F49" s="18" t="n">
        <v>251053.2557</v>
      </c>
      <c r="G49" s="18" t="n">
        <v>9134713.216499999</v>
      </c>
      <c r="H49" s="17" t="n">
        <v>49</v>
      </c>
      <c r="I49" s="21" t="n">
        <v>0.0008602330953507692</v>
      </c>
      <c r="J49" s="18" t="n">
        <v>135.875</v>
      </c>
      <c r="K49" s="18" t="n">
        <v>0</v>
      </c>
      <c r="L49" s="19" t="inlineStr">
        <is>
          <t>Pareamento inicial por translação; confirmar no QGIS.</t>
        </is>
      </c>
    </row>
    <row r="50">
      <c r="B50" s="14" t="n">
        <v>132</v>
      </c>
      <c r="C50" s="15" t="n">
        <v>471.5258</v>
      </c>
      <c r="D50" s="15" t="n">
        <v>1202.2709</v>
      </c>
      <c r="E50" s="15" t="n">
        <v>135.37</v>
      </c>
      <c r="F50" s="15" t="n">
        <v>251058.5591</v>
      </c>
      <c r="G50" s="15" t="n">
        <v>9134732.356699999</v>
      </c>
      <c r="H50" s="14" t="n">
        <v>50</v>
      </c>
      <c r="I50" s="20" t="n">
        <v>0.0003162290419083548</v>
      </c>
      <c r="J50" s="15" t="n">
        <v>135.37</v>
      </c>
      <c r="K50" s="15" t="n">
        <v>0</v>
      </c>
      <c r="L50" s="16" t="inlineStr">
        <is>
          <t>Pareamento inicial por translação; confirmar no QGIS.</t>
        </is>
      </c>
    </row>
    <row r="51">
      <c r="B51" s="17" t="n">
        <v>133</v>
      </c>
      <c r="C51" s="18" t="n">
        <v>475.2606</v>
      </c>
      <c r="D51" s="18" t="n">
        <v>1221.9191</v>
      </c>
      <c r="E51" s="18" t="n">
        <v>135</v>
      </c>
      <c r="F51" s="18" t="n">
        <v>251062.2939</v>
      </c>
      <c r="G51" s="18" t="n">
        <v>9134752.004899999</v>
      </c>
      <c r="H51" s="17" t="n">
        <v>51</v>
      </c>
      <c r="I51" s="21" t="n">
        <v>0.0001414225565714213</v>
      </c>
      <c r="J51" s="18" t="n">
        <v>135</v>
      </c>
      <c r="K51" s="18" t="n">
        <v>0</v>
      </c>
      <c r="L51" s="19" t="inlineStr">
        <is>
          <t>Pareamento inicial por translação; confirmar no QGIS.</t>
        </is>
      </c>
    </row>
    <row r="52">
      <c r="B52" s="14" t="n">
        <v>134</v>
      </c>
      <c r="C52" s="15" t="n">
        <v>478.9955</v>
      </c>
      <c r="D52" s="15" t="n">
        <v>1241.5672</v>
      </c>
      <c r="E52" s="15" t="n">
        <v>134.805</v>
      </c>
      <c r="F52" s="15" t="n">
        <v>251066.0288</v>
      </c>
      <c r="G52" s="15" t="n">
        <v>9134771.652999999</v>
      </c>
      <c r="H52" s="14" t="n">
        <v>52</v>
      </c>
      <c r="I52" s="20" t="n">
        <v>0.0007999999797924685</v>
      </c>
      <c r="J52" s="15" t="n">
        <v>134.805</v>
      </c>
      <c r="K52" s="15" t="n">
        <v>0</v>
      </c>
      <c r="L52" s="16" t="inlineStr">
        <is>
          <t>Pareamento inicial por translação; confirmar no QGIS.</t>
        </is>
      </c>
    </row>
    <row r="53">
      <c r="B53" s="17" t="n">
        <v>135</v>
      </c>
      <c r="C53" s="18" t="n">
        <v>482.7303</v>
      </c>
      <c r="D53" s="18" t="n">
        <v>1261.2154</v>
      </c>
      <c r="E53" s="18" t="n">
        <v>134.555</v>
      </c>
      <c r="F53" s="18" t="n">
        <v>251069.7636</v>
      </c>
      <c r="G53" s="18" t="n">
        <v>9134791.301199999</v>
      </c>
      <c r="H53" s="17" t="n">
        <v>53</v>
      </c>
      <c r="I53" s="21" t="n">
        <v>0.0006324548073951004</v>
      </c>
      <c r="J53" s="18" t="n">
        <v>134.555</v>
      </c>
      <c r="K53" s="18" t="n">
        <v>0</v>
      </c>
      <c r="L53" s="19" t="inlineStr">
        <is>
          <t>Pareamento inicial por translação; confirmar no QGIS.</t>
        </is>
      </c>
    </row>
    <row r="54">
      <c r="B54" s="14" t="n">
        <v>136</v>
      </c>
      <c r="C54" s="15" t="n">
        <v>483.3912</v>
      </c>
      <c r="D54" s="15" t="n">
        <v>1281.1445</v>
      </c>
      <c r="E54" s="15" t="n">
        <v>134.35</v>
      </c>
      <c r="F54" s="15" t="n">
        <v>251070.4245</v>
      </c>
      <c r="G54" s="15" t="n">
        <v>9134811.2303</v>
      </c>
      <c r="H54" s="14" t="n">
        <v>54</v>
      </c>
      <c r="I54" s="20" t="n">
        <v>0.0005830949226955482</v>
      </c>
      <c r="J54" s="15" t="n">
        <v>134.35</v>
      </c>
      <c r="K54" s="15" t="n">
        <v>0</v>
      </c>
      <c r="L54" s="16" t="inlineStr">
        <is>
          <t>Pareamento inicial por translação; confirmar no QGIS.</t>
        </is>
      </c>
    </row>
    <row r="55">
      <c r="B55" s="17" t="n">
        <v>137</v>
      </c>
      <c r="C55" s="18" t="n">
        <v>478.7469</v>
      </c>
      <c r="D55" s="18" t="n">
        <v>1300.3132</v>
      </c>
      <c r="E55" s="18" t="n">
        <v>134.16</v>
      </c>
      <c r="F55" s="18" t="n">
        <v>251065.7802</v>
      </c>
      <c r="G55" s="18" t="n">
        <v>9134830.399</v>
      </c>
      <c r="H55" s="17" t="n">
        <v>55</v>
      </c>
      <c r="I55" s="21" t="n">
        <v>0.0001999999803956598</v>
      </c>
      <c r="J55" s="18" t="n">
        <v>134.16</v>
      </c>
      <c r="K55" s="18" t="n">
        <v>0</v>
      </c>
      <c r="L55" s="19" t="inlineStr">
        <is>
          <t>Pareamento inicial por translação; confirmar no QGIS.</t>
        </is>
      </c>
    </row>
    <row r="56">
      <c r="B56" s="14" t="n">
        <v>138</v>
      </c>
      <c r="C56" s="15" t="n">
        <v>471.7563</v>
      </c>
      <c r="D56" s="15" t="n">
        <v>1319.0517</v>
      </c>
      <c r="E56" s="15" t="n">
        <v>133.76</v>
      </c>
      <c r="F56" s="15" t="n">
        <v>251058.7896</v>
      </c>
      <c r="G56" s="15" t="n">
        <v>9134849.137499999</v>
      </c>
      <c r="H56" s="14" t="n">
        <v>56</v>
      </c>
      <c r="I56" s="20" t="n">
        <v>0.000781025615811387</v>
      </c>
      <c r="J56" s="15" t="n">
        <v>133.76</v>
      </c>
      <c r="K56" s="15" t="n">
        <v>0</v>
      </c>
      <c r="L56" s="16" t="inlineStr">
        <is>
          <t>Pareamento inicial por translação; confirmar no QGIS.</t>
        </is>
      </c>
    </row>
    <row r="57">
      <c r="B57" s="17" t="n">
        <v>139</v>
      </c>
      <c r="C57" s="18" t="n">
        <v>464.7657</v>
      </c>
      <c r="D57" s="18" t="n">
        <v>1337.7902</v>
      </c>
      <c r="E57" s="18" t="n">
        <v>133.47</v>
      </c>
      <c r="F57" s="18" t="n">
        <v>251051.799</v>
      </c>
      <c r="G57" s="18" t="n">
        <v>9134867.876</v>
      </c>
      <c r="H57" s="17" t="n">
        <v>57</v>
      </c>
      <c r="I57" s="21" t="n">
        <v>2.91038304567337e-11</v>
      </c>
      <c r="J57" s="18" t="n">
        <v>133.47</v>
      </c>
      <c r="K57" s="18" t="n">
        <v>0</v>
      </c>
      <c r="L57" s="19" t="inlineStr">
        <is>
          <t>Pareamento inicial por translação; confirmar no QGIS.</t>
        </is>
      </c>
    </row>
    <row r="58">
      <c r="B58" s="14" t="n">
        <v>140</v>
      </c>
      <c r="C58" s="15" t="n">
        <v>456.371</v>
      </c>
      <c r="D58" s="15" t="n">
        <v>1355.9344</v>
      </c>
      <c r="E58" s="15" t="n">
        <v>132.99</v>
      </c>
      <c r="F58" s="15" t="n">
        <v>251043.4043</v>
      </c>
      <c r="G58" s="15" t="n">
        <v>9134886.020199999</v>
      </c>
      <c r="H58" s="14" t="n">
        <v>58</v>
      </c>
      <c r="I58" s="20" t="n">
        <v>0.0003605549267292967</v>
      </c>
      <c r="J58" s="15" t="n">
        <v>132.99</v>
      </c>
      <c r="K58" s="15" t="n">
        <v>0</v>
      </c>
      <c r="L58" s="16" t="inlineStr">
        <is>
          <t>Pareamento inicial por translação; confirmar no QGIS.</t>
        </is>
      </c>
    </row>
    <row r="59">
      <c r="B59" s="17" t="n">
        <v>141</v>
      </c>
      <c r="C59" s="18" t="n">
        <v>447.7846</v>
      </c>
      <c r="D59" s="18" t="n">
        <v>1373.9974</v>
      </c>
      <c r="E59" s="18" t="n">
        <v>132.335</v>
      </c>
      <c r="F59" s="18" t="n">
        <v>251034.8179</v>
      </c>
      <c r="G59" s="18" t="n">
        <v>9134904.0832</v>
      </c>
      <c r="H59" s="17" t="n">
        <v>59</v>
      </c>
      <c r="I59" s="21" t="n">
        <v>0.0002236064959956986</v>
      </c>
      <c r="J59" s="18" t="n">
        <v>132.335</v>
      </c>
      <c r="K59" s="18" t="n">
        <v>0</v>
      </c>
      <c r="L59" s="19" t="inlineStr">
        <is>
          <t>Pareamento inicial por translação; confirmar no QGIS.</t>
        </is>
      </c>
    </row>
    <row r="60">
      <c r="B60" s="14" t="n">
        <v>142</v>
      </c>
      <c r="C60" s="15" t="n">
        <v>438.1562</v>
      </c>
      <c r="D60" s="15" t="n">
        <v>1391.5243</v>
      </c>
      <c r="E60" s="15" t="n">
        <v>131.335</v>
      </c>
      <c r="F60" s="15" t="n">
        <v>251025.1895</v>
      </c>
      <c r="G60" s="15" t="n">
        <v>9134921.610099999</v>
      </c>
      <c r="H60" s="14" t="n">
        <v>60</v>
      </c>
      <c r="I60" s="20" t="n">
        <v>0.0005099018842546547</v>
      </c>
      <c r="J60" s="15" t="n">
        <v>131.335</v>
      </c>
      <c r="K60" s="15" t="n">
        <v>0</v>
      </c>
      <c r="L60" s="16" t="inlineStr">
        <is>
          <t>Pareamento inicial por translação; confirmar no QGIS.</t>
        </is>
      </c>
    </row>
    <row r="61">
      <c r="B61" s="17" t="n">
        <v>143</v>
      </c>
      <c r="C61" s="18" t="n">
        <v>428.4483</v>
      </c>
      <c r="D61" s="18" t="n">
        <v>1409.0102</v>
      </c>
      <c r="E61" s="18" t="n">
        <v>130.28</v>
      </c>
      <c r="F61" s="18" t="n">
        <v>251015.4816</v>
      </c>
      <c r="G61" s="18" t="n">
        <v>9134939.095999999</v>
      </c>
      <c r="H61" s="17" t="n">
        <v>61</v>
      </c>
      <c r="I61" s="21" t="n">
        <v>0.0005999999702937011</v>
      </c>
      <c r="J61" s="18" t="n">
        <v>130.28</v>
      </c>
      <c r="K61" s="18" t="n">
        <v>0</v>
      </c>
      <c r="L61" s="19" t="inlineStr">
        <is>
          <t>Pareamento inicial por translação; confirmar no QGIS.</t>
        </is>
      </c>
    </row>
    <row r="62">
      <c r="B62" s="14" t="n">
        <v>144</v>
      </c>
      <c r="C62" s="15" t="n">
        <v>418.7404</v>
      </c>
      <c r="D62" s="15" t="n">
        <v>1426.496</v>
      </c>
      <c r="E62" s="15" t="n">
        <v>128.9</v>
      </c>
      <c r="F62" s="15" t="n">
        <v>251005.7737</v>
      </c>
      <c r="G62" s="15" t="n">
        <v>9134956.581799999</v>
      </c>
      <c r="H62" s="14" t="n">
        <v>62</v>
      </c>
      <c r="I62" s="20" t="n">
        <v>0.0007280114112868894</v>
      </c>
      <c r="J62" s="15" t="n">
        <v>128.9</v>
      </c>
      <c r="K62" s="15" t="n">
        <v>0</v>
      </c>
      <c r="L62" s="16" t="inlineStr">
        <is>
          <t>Pareamento inicial por translação; confirmar no QGIS.</t>
        </is>
      </c>
    </row>
    <row r="63">
      <c r="B63" s="17" t="n">
        <v>145</v>
      </c>
      <c r="C63" s="18" t="n">
        <v>409.0325</v>
      </c>
      <c r="D63" s="18" t="n">
        <v>1443.9819</v>
      </c>
      <c r="E63" s="18" t="n">
        <v>128.0425</v>
      </c>
      <c r="F63" s="18" t="n">
        <v>250996.0658</v>
      </c>
      <c r="G63" s="18" t="n">
        <v>9134974.067699999</v>
      </c>
      <c r="H63" s="17" t="n">
        <v>63</v>
      </c>
      <c r="I63" s="21" t="n">
        <v>0.0003605562586017454</v>
      </c>
      <c r="J63" s="18" t="n">
        <v>128.043</v>
      </c>
      <c r="K63" s="22" t="n">
        <v>-0.0005000000000165983</v>
      </c>
      <c r="L63" s="19" t="inlineStr">
        <is>
          <t>Pareamento inicial por translação; confirmar no QGIS.</t>
        </is>
      </c>
    </row>
    <row r="64">
      <c r="B64" s="14" t="n">
        <v>146</v>
      </c>
      <c r="C64" s="15" t="n">
        <v>399.3246</v>
      </c>
      <c r="D64" s="15" t="n">
        <v>1461.4678</v>
      </c>
      <c r="E64" s="15" t="n">
        <v>127.646</v>
      </c>
      <c r="F64" s="15" t="n">
        <v>250986.3579</v>
      </c>
      <c r="G64" s="15" t="n">
        <v>9134991.5536</v>
      </c>
      <c r="H64" s="14" t="n">
        <v>64</v>
      </c>
      <c r="I64" s="20" t="n">
        <v>0.0004123099115675218</v>
      </c>
      <c r="J64" s="15" t="n">
        <v>127.646</v>
      </c>
      <c r="K64" s="15" t="n">
        <v>0</v>
      </c>
      <c r="L64" s="16" t="inlineStr">
        <is>
          <t>Pareamento inicial por translação; confirmar no QGIS.</t>
        </is>
      </c>
    </row>
    <row r="65">
      <c r="B65" s="17" t="n">
        <v>147</v>
      </c>
      <c r="C65" s="18" t="n">
        <v>315.9477</v>
      </c>
      <c r="D65" s="18" t="n">
        <v>459.5287</v>
      </c>
      <c r="E65" s="18" t="n">
        <v>154.215</v>
      </c>
      <c r="F65" s="18" t="n">
        <v>250902.981</v>
      </c>
      <c r="G65" s="18" t="n">
        <v>9133989.614499999</v>
      </c>
      <c r="H65" s="17" t="n">
        <v>11</v>
      </c>
      <c r="I65" s="21" t="n">
        <v>0.000500001013278962</v>
      </c>
      <c r="J65" s="18" t="n">
        <v>154.215</v>
      </c>
      <c r="K65" s="18" t="n">
        <v>0</v>
      </c>
      <c r="L65" s="19" t="inlineStr">
        <is>
          <t>Pareamento inicial por translação; confirmar no QGIS.</t>
        </is>
      </c>
    </row>
    <row r="66">
      <c r="B66" s="14" t="n">
        <v>148</v>
      </c>
      <c r="C66" s="15" t="n">
        <v>318.0139</v>
      </c>
      <c r="D66" s="15" t="n">
        <v>479.4217</v>
      </c>
      <c r="E66" s="15" t="n">
        <v>153.605</v>
      </c>
      <c r="F66" s="15" t="n">
        <v>250905.0472</v>
      </c>
      <c r="G66" s="15" t="n">
        <v>9134009.5075</v>
      </c>
      <c r="H66" s="14" t="n">
        <v>12</v>
      </c>
      <c r="I66" s="20" t="n">
        <v>0.0005385156848159556</v>
      </c>
      <c r="J66" s="15" t="n">
        <v>153.605</v>
      </c>
      <c r="K66" s="15" t="n">
        <v>0</v>
      </c>
      <c r="L66" s="16" t="inlineStr">
        <is>
          <t>Pareamento inicial por translação; confirmar no QGIS.</t>
        </is>
      </c>
    </row>
    <row r="67">
      <c r="B67" s="17" t="n">
        <v>149</v>
      </c>
      <c r="C67" s="18" t="n">
        <v>320.0801</v>
      </c>
      <c r="D67" s="18" t="n">
        <v>499.3147</v>
      </c>
      <c r="E67" s="18" t="n">
        <v>152.93</v>
      </c>
      <c r="F67" s="18" t="n">
        <v>250907.1134</v>
      </c>
      <c r="G67" s="18" t="n">
        <v>9134029.4005</v>
      </c>
      <c r="H67" s="17" t="n">
        <v>13</v>
      </c>
      <c r="I67" s="21" t="n">
        <v>0.0006403131904880963</v>
      </c>
      <c r="J67" s="18" t="n">
        <v>152.93</v>
      </c>
      <c r="K67" s="18" t="n">
        <v>0</v>
      </c>
      <c r="L67" s="19" t="inlineStr">
        <is>
          <t>Pareamento inicial por translação; confirmar no QGIS.</t>
        </is>
      </c>
    </row>
    <row r="68">
      <c r="B68" s="14" t="n">
        <v>150</v>
      </c>
      <c r="C68" s="15" t="n">
        <v>322.3045</v>
      </c>
      <c r="D68" s="15" t="n">
        <v>519.1903</v>
      </c>
      <c r="E68" s="15" t="n">
        <v>152.37</v>
      </c>
      <c r="F68" s="15" t="n">
        <v>250909.3378</v>
      </c>
      <c r="G68" s="15" t="n">
        <v>9134049.2761</v>
      </c>
      <c r="H68" s="14" t="n">
        <v>14</v>
      </c>
      <c r="I68" s="20" t="n">
        <v>0.0002236067302770145</v>
      </c>
      <c r="J68" s="15" t="n">
        <v>152.37</v>
      </c>
      <c r="K68" s="15" t="n">
        <v>0</v>
      </c>
      <c r="L68" s="16" t="inlineStr">
        <is>
          <t>Pareamento inicial por translação; confirmar no QGIS.</t>
        </is>
      </c>
    </row>
    <row r="69">
      <c r="B69" s="17" t="n">
        <v>151</v>
      </c>
      <c r="C69" s="18" t="n">
        <v>257.8427</v>
      </c>
      <c r="D69" s="18" t="n">
        <v>272.5862</v>
      </c>
      <c r="E69" s="18" t="n">
        <v>157.65</v>
      </c>
      <c r="F69" s="18" t="n">
        <v>250844.876</v>
      </c>
      <c r="G69" s="18" t="n">
        <v>9133802.672</v>
      </c>
      <c r="H69" s="17" t="n">
        <v>1</v>
      </c>
      <c r="I69" s="21" t="n">
        <v>0</v>
      </c>
      <c r="J69" s="18" t="n">
        <v>157.65</v>
      </c>
      <c r="K69" s="18" t="n">
        <v>0</v>
      </c>
      <c r="L69" s="19" t="inlineStr">
        <is>
          <t>Pareamento inicial por translação; confirmar no QGIS.</t>
        </is>
      </c>
    </row>
    <row r="70">
      <c r="B70" s="14" t="n">
        <v>152</v>
      </c>
      <c r="C70" s="15" t="n">
        <v>268.8323</v>
      </c>
      <c r="D70" s="15" t="n">
        <v>289.2964</v>
      </c>
      <c r="E70" s="15" t="n">
        <v>157.635</v>
      </c>
      <c r="F70" s="15" t="n">
        <v>250855.8656</v>
      </c>
      <c r="G70" s="15" t="n">
        <v>9133819.382199999</v>
      </c>
      <c r="H70" s="14" t="n">
        <v>2</v>
      </c>
      <c r="I70" s="20" t="n">
        <v>0.0006324554240221944</v>
      </c>
      <c r="J70" s="15" t="n">
        <v>157.635</v>
      </c>
      <c r="K70" s="15" t="n">
        <v>0</v>
      </c>
      <c r="L70" s="16" t="inlineStr">
        <is>
          <t>Pareamento inicial por translação; confirmar no QGIS.</t>
        </is>
      </c>
    </row>
    <row r="71">
      <c r="B71" s="17" t="n">
        <v>153</v>
      </c>
      <c r="C71" s="18" t="n">
        <v>279.8218</v>
      </c>
      <c r="D71" s="18" t="n">
        <v>306.0066</v>
      </c>
      <c r="E71" s="18" t="n">
        <v>157.4</v>
      </c>
      <c r="F71" s="18" t="n">
        <v>250866.8551</v>
      </c>
      <c r="G71" s="18" t="n">
        <v>9133836.092399999</v>
      </c>
      <c r="H71" s="17" t="n">
        <v>3</v>
      </c>
      <c r="I71" s="21" t="n">
        <v>0.0004123098974500671</v>
      </c>
      <c r="J71" s="18" t="n">
        <v>157.4</v>
      </c>
      <c r="K71" s="18" t="n">
        <v>0</v>
      </c>
      <c r="L71" s="19" t="inlineStr">
        <is>
          <t>Pareamento inicial por translação; confirmar no QGIS.</t>
        </is>
      </c>
    </row>
    <row r="72">
      <c r="B72" s="14" t="n">
        <v>154</v>
      </c>
      <c r="C72" s="15" t="n">
        <v>290.8113</v>
      </c>
      <c r="D72" s="15" t="n">
        <v>322.7168</v>
      </c>
      <c r="E72" s="15" t="n">
        <v>157.156</v>
      </c>
      <c r="F72" s="15" t="n">
        <v>250877.8446</v>
      </c>
      <c r="G72" s="15" t="n">
        <v>9133852.8026</v>
      </c>
      <c r="H72" s="14" t="n">
        <v>4</v>
      </c>
      <c r="I72" s="20" t="n">
        <v>0.0007211098534585935</v>
      </c>
      <c r="J72" s="15" t="n">
        <v>157.156</v>
      </c>
      <c r="K72" s="15" t="n">
        <v>0</v>
      </c>
      <c r="L72" s="16" t="inlineStr">
        <is>
          <t>Pareamento inicial por translação; confirmar no QGIS.</t>
        </is>
      </c>
    </row>
    <row r="73">
      <c r="B73" s="17" t="n">
        <v>155</v>
      </c>
      <c r="C73" s="18" t="n">
        <v>298.0182</v>
      </c>
      <c r="D73" s="18" t="n">
        <v>340.997</v>
      </c>
      <c r="E73" s="18" t="n">
        <v>156.92</v>
      </c>
      <c r="F73" s="18" t="n">
        <v>250885.0515</v>
      </c>
      <c r="G73" s="18" t="n">
        <v>9133871.082799999</v>
      </c>
      <c r="H73" s="17" t="n">
        <v>5</v>
      </c>
      <c r="I73" s="21" t="n">
        <v>0.0005385170143113909</v>
      </c>
      <c r="J73" s="18" t="n">
        <v>156.92</v>
      </c>
      <c r="K73" s="18" t="n">
        <v>0</v>
      </c>
      <c r="L73" s="19" t="inlineStr">
        <is>
          <t>Pareamento inicial por translação; confirmar no QGIS.</t>
        </is>
      </c>
    </row>
    <row r="74">
      <c r="B74" s="14" t="n">
        <v>156</v>
      </c>
      <c r="C74" s="15" t="n">
        <v>302.092</v>
      </c>
      <c r="D74" s="15" t="n">
        <v>360.5777</v>
      </c>
      <c r="E74" s="15" t="n">
        <v>156.6467</v>
      </c>
      <c r="F74" s="15" t="n">
        <v>250889.1253</v>
      </c>
      <c r="G74" s="15" t="n">
        <v>9133890.6635</v>
      </c>
      <c r="H74" s="14" t="n">
        <v>6</v>
      </c>
      <c r="I74" s="20" t="n">
        <v>0.0005830960507216895</v>
      </c>
      <c r="J74" s="15" t="n">
        <v>156.647</v>
      </c>
      <c r="K74" s="15" t="n">
        <v>-0.0002999999999815373</v>
      </c>
      <c r="L74" s="16" t="inlineStr">
        <is>
          <t>Pareamento inicial por translação; confirmar no QGIS.</t>
        </is>
      </c>
    </row>
    <row r="75">
      <c r="B75" s="17" t="n">
        <v>157</v>
      </c>
      <c r="C75" s="18" t="n">
        <v>306.1658</v>
      </c>
      <c r="D75" s="18" t="n">
        <v>380.1585</v>
      </c>
      <c r="E75" s="18" t="n">
        <v>156.245</v>
      </c>
      <c r="F75" s="18" t="n">
        <v>250893.1991</v>
      </c>
      <c r="G75" s="18" t="n">
        <v>9133910.2443</v>
      </c>
      <c r="H75" s="17" t="n">
        <v>7</v>
      </c>
      <c r="I75" s="21" t="n">
        <v>0.0003162272748477201</v>
      </c>
      <c r="J75" s="18" t="n">
        <v>156.245</v>
      </c>
      <c r="K75" s="18" t="n">
        <v>0</v>
      </c>
      <c r="L75" s="19" t="inlineStr">
        <is>
          <t>Pareamento inicial por translação; confirmar no QGIS.</t>
        </is>
      </c>
    </row>
    <row r="76">
      <c r="B76" s="14" t="n">
        <v>158</v>
      </c>
      <c r="C76" s="15" t="n">
        <v>309.1479</v>
      </c>
      <c r="D76" s="15" t="n">
        <v>399.916</v>
      </c>
      <c r="E76" s="15" t="n">
        <v>155.9567</v>
      </c>
      <c r="F76" s="15" t="n">
        <v>250896.1812</v>
      </c>
      <c r="G76" s="15" t="n">
        <v>9133930.001799999</v>
      </c>
      <c r="H76" s="14" t="n">
        <v>8</v>
      </c>
      <c r="I76" s="20" t="n">
        <v>0.0002828437754663396</v>
      </c>
      <c r="J76" s="15" t="n">
        <v>155.957</v>
      </c>
      <c r="K76" s="15" t="n">
        <v>-0.0002999999999815373</v>
      </c>
      <c r="L76" s="16" t="inlineStr">
        <is>
          <t>Pareamento inicial por translação; confirmar no QGIS.</t>
        </is>
      </c>
    </row>
    <row r="77">
      <c r="B77" s="17" t="n">
        <v>159</v>
      </c>
      <c r="C77" s="18" t="n">
        <v>311.465</v>
      </c>
      <c r="D77" s="18" t="n">
        <v>419.7814</v>
      </c>
      <c r="E77" s="18" t="n">
        <v>155.425</v>
      </c>
      <c r="F77" s="18" t="n">
        <v>250898.4983</v>
      </c>
      <c r="G77" s="18" t="n">
        <v>9133949.8672</v>
      </c>
      <c r="H77" s="17" t="n">
        <v>9</v>
      </c>
      <c r="I77" s="21" t="n">
        <v>0.0003605549267292967</v>
      </c>
      <c r="J77" s="18" t="n">
        <v>155.425</v>
      </c>
      <c r="K77" s="18" t="n">
        <v>0</v>
      </c>
      <c r="L77" s="19" t="inlineStr">
        <is>
          <t>Pareamento inicial por translação; confirmar no QGIS.</t>
        </is>
      </c>
    </row>
    <row r="78">
      <c r="B78" s="14" t="n">
        <v>160</v>
      </c>
      <c r="C78" s="15" t="n">
        <v>313.782</v>
      </c>
      <c r="D78" s="15" t="n">
        <v>439.6467</v>
      </c>
      <c r="E78" s="15" t="n">
        <v>154.83</v>
      </c>
      <c r="F78" s="15" t="n">
        <v>250900.8153</v>
      </c>
      <c r="G78" s="15" t="n">
        <v>9133969.7325</v>
      </c>
      <c r="H78" s="14" t="n">
        <v>10</v>
      </c>
      <c r="I78" s="20" t="n">
        <v>0.0005830944535165607</v>
      </c>
      <c r="J78" s="15" t="n">
        <v>154.83</v>
      </c>
      <c r="K78" s="15" t="n">
        <v>0</v>
      </c>
      <c r="L78" s="16" t="inlineStr">
        <is>
          <t>Pareamento inicial por translação; confirmar no QGIS.</t>
        </is>
      </c>
    </row>
    <row r="79">
      <c r="B79" s="17" t="n">
        <v>161</v>
      </c>
      <c r="C79" s="18" t="n">
        <v>389.6167</v>
      </c>
      <c r="D79" s="18" t="n">
        <v>1478.9537</v>
      </c>
      <c r="E79" s="18" t="n">
        <v>127.29</v>
      </c>
      <c r="F79" s="18" t="n">
        <v>250976.65</v>
      </c>
      <c r="G79" s="18" t="n">
        <v>9135009.0395</v>
      </c>
      <c r="H79" s="17" t="n">
        <v>65</v>
      </c>
      <c r="I79" s="21" t="n">
        <v>0.000499999150633812</v>
      </c>
      <c r="J79" s="18" t="n">
        <v>127.29</v>
      </c>
      <c r="K79" s="18" t="n">
        <v>0</v>
      </c>
      <c r="L79" s="19" t="inlineStr">
        <is>
          <t>Pareamento inicial por translação; confirmar no QGIS.</t>
        </is>
      </c>
    </row>
    <row r="80">
      <c r="B80" s="14" t="n">
        <v>162</v>
      </c>
      <c r="C80" s="15" t="n">
        <v>350.0937</v>
      </c>
      <c r="D80" s="15" t="n">
        <v>1548.4993</v>
      </c>
      <c r="E80" s="15" t="n">
        <v>126.444</v>
      </c>
      <c r="F80" s="15" t="n">
        <v>250937.127</v>
      </c>
      <c r="G80" s="15" t="n">
        <v>9135078.585099999</v>
      </c>
      <c r="H80" s="14" t="n">
        <v>69</v>
      </c>
      <c r="I80" s="20" t="n">
        <v>9.99979674816174e-05</v>
      </c>
      <c r="J80" s="15" t="n">
        <v>126.444</v>
      </c>
      <c r="K80" s="15" t="n">
        <v>0</v>
      </c>
      <c r="L80" s="16" t="inlineStr">
        <is>
          <t>Pareamento inicial por translação; confirmar no QGIS.</t>
        </is>
      </c>
    </row>
    <row r="81">
      <c r="B81" s="17" t="n">
        <v>163</v>
      </c>
      <c r="C81" s="18" t="n">
        <v>339.8476</v>
      </c>
      <c r="D81" s="18" t="n">
        <v>1565.6754</v>
      </c>
      <c r="E81" s="18" t="n">
        <v>126.4</v>
      </c>
      <c r="F81" s="18" t="n">
        <v>250926.8809</v>
      </c>
      <c r="G81" s="18" t="n">
        <v>9135095.7612</v>
      </c>
      <c r="H81" s="17" t="n">
        <v>70</v>
      </c>
      <c r="I81" s="21" t="n">
        <v>0.0002236064959956986</v>
      </c>
      <c r="J81" s="18" t="n">
        <v>126.4</v>
      </c>
      <c r="K81" s="18" t="n">
        <v>0</v>
      </c>
      <c r="L81" s="19" t="inlineStr">
        <is>
          <t>Pareamento inicial por translação; confirmar no QGIS.</t>
        </is>
      </c>
    </row>
    <row r="82">
      <c r="B82" s="14" t="n">
        <v>164</v>
      </c>
      <c r="C82" s="15" t="n">
        <v>379.9088</v>
      </c>
      <c r="D82" s="15" t="n">
        <v>1496.4396</v>
      </c>
      <c r="E82" s="15" t="n">
        <v>126.98</v>
      </c>
      <c r="F82" s="15" t="n">
        <v>250966.9421</v>
      </c>
      <c r="G82" s="15" t="n">
        <v>9135026.5254</v>
      </c>
      <c r="H82" s="14" t="n">
        <v>66</v>
      </c>
      <c r="I82" s="20" t="n">
        <v>0.0004123098974500671</v>
      </c>
      <c r="J82" s="15" t="n">
        <v>126.98</v>
      </c>
      <c r="K82" s="15" t="n">
        <v>0</v>
      </c>
      <c r="L82" s="16" t="inlineStr">
        <is>
          <t>Pareamento inicial por translação; confirmar no QGIS.</t>
        </is>
      </c>
    </row>
    <row r="83">
      <c r="B83" s="17" t="n">
        <v>165</v>
      </c>
      <c r="C83" s="18" t="n">
        <v>370.2009</v>
      </c>
      <c r="D83" s="18" t="n">
        <v>1513.9255</v>
      </c>
      <c r="E83" s="18" t="n">
        <v>126.67</v>
      </c>
      <c r="F83" s="18" t="n">
        <v>250957.2342</v>
      </c>
      <c r="G83" s="18" t="n">
        <v>9135044.011299999</v>
      </c>
      <c r="H83" s="17" t="n">
        <v>67</v>
      </c>
      <c r="I83" s="21" t="n">
        <v>0.0003605546926427339</v>
      </c>
      <c r="J83" s="18" t="n">
        <v>126.67</v>
      </c>
      <c r="K83" s="18" t="n">
        <v>0</v>
      </c>
      <c r="L83" s="19" t="inlineStr">
        <is>
          <t>Pareamento inicial por translação; confirmar no QGIS.</t>
        </is>
      </c>
    </row>
    <row r="84">
      <c r="B84" s="14" t="n">
        <v>166</v>
      </c>
      <c r="C84" s="15" t="n">
        <v>360.3398</v>
      </c>
      <c r="D84" s="15" t="n">
        <v>1531.3233</v>
      </c>
      <c r="E84" s="15" t="n">
        <v>126.5825</v>
      </c>
      <c r="F84" s="15" t="n">
        <v>250947.3731</v>
      </c>
      <c r="G84" s="15" t="n">
        <v>9135061.4091</v>
      </c>
      <c r="H84" s="14" t="n">
        <v>68</v>
      </c>
      <c r="I84" s="20" t="n">
        <v>0.0001414212188978898</v>
      </c>
      <c r="J84" s="15" t="n">
        <v>126.583</v>
      </c>
      <c r="K84" s="22" t="n">
        <v>-0.0005000000000023874</v>
      </c>
      <c r="L84" s="16" t="inlineStr">
        <is>
          <t>Pareamento inicial por translação; confirmar no QGIS.</t>
        </is>
      </c>
    </row>
  </sheetData>
  <autoFilter ref="B6:L84"/>
  <mergeCells count="2">
    <mergeCell ref="B2:L2"/>
    <mergeCell ref="B3:L3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91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8" customWidth="1" min="4" max="4"/>
    <col width="16" customWidth="1" min="5" max="5"/>
    <col width="16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2" ht="28" customHeight="1">
      <c r="B2" s="1" t="inlineStr">
        <is>
          <t>Roteiro perimétrico / longitudinal entre pontos</t>
        </is>
      </c>
    </row>
    <row r="3" ht="30" customHeight="1">
      <c r="B3" s="2" t="inlineStr">
        <is>
          <t>Azimute contado a partir do Norte, no sentido horário. A sequência 1→87 não foi fechada automaticamente; o grupo deve decidir se o conjunto representa eixo ou perímetro.</t>
        </is>
      </c>
    </row>
    <row r="5" ht="30" customHeight="1">
      <c r="B5" s="13" t="inlineStr">
        <is>
          <t>De</t>
        </is>
      </c>
      <c r="C5" s="13" t="inlineStr">
        <is>
          <t>Para</t>
        </is>
      </c>
      <c r="D5" s="13" t="inlineStr">
        <is>
          <t>Estação de (m)</t>
        </is>
      </c>
      <c r="E5" s="13" t="inlineStr">
        <is>
          <t>Azimute (°)</t>
        </is>
      </c>
      <c r="F5" s="13" t="inlineStr">
        <is>
          <t>Distância (m)</t>
        </is>
      </c>
      <c r="G5" s="13" t="inlineStr">
        <is>
          <t>Cota de (m)</t>
        </is>
      </c>
      <c r="H5" s="13" t="inlineStr">
        <is>
          <t>Cota para (m)</t>
        </is>
      </c>
      <c r="I5" s="13" t="inlineStr">
        <is>
          <t>ΔZ (m)</t>
        </is>
      </c>
      <c r="J5" s="13" t="inlineStr">
        <is>
          <t>Declividade (%)</t>
        </is>
      </c>
    </row>
    <row r="6">
      <c r="B6" s="14" t="n">
        <v>1</v>
      </c>
      <c r="C6" s="14" t="n">
        <v>2</v>
      </c>
      <c r="D6" s="15" t="n">
        <v>0</v>
      </c>
      <c r="E6" s="20" t="n">
        <v>33.33012623561278</v>
      </c>
      <c r="F6" s="15" t="n">
        <v>19.99955551925244</v>
      </c>
      <c r="G6" s="15" t="n">
        <v>157.65</v>
      </c>
      <c r="H6" s="15" t="n">
        <v>157.635</v>
      </c>
      <c r="I6" s="15" t="n">
        <v>-0.01500000000001478</v>
      </c>
      <c r="J6" s="15" t="n">
        <v>-0.07500166683992114</v>
      </c>
    </row>
    <row r="7">
      <c r="B7" s="17" t="n">
        <v>2</v>
      </c>
      <c r="C7" s="17" t="n">
        <v>3</v>
      </c>
      <c r="D7" s="18" t="n">
        <v>19.99955551925244</v>
      </c>
      <c r="E7" s="21" t="n">
        <v>33.33251980454336</v>
      </c>
      <c r="F7" s="18" t="n">
        <v>20.00010500048224</v>
      </c>
      <c r="G7" s="18" t="n">
        <v>157.635</v>
      </c>
      <c r="H7" s="18" t="n">
        <v>157.4</v>
      </c>
      <c r="I7" s="18" t="n">
        <v>-0.2349999999999852</v>
      </c>
      <c r="J7" s="18" t="n">
        <v>-1.17499383125398</v>
      </c>
    </row>
    <row r="8">
      <c r="B8" s="14" t="n">
        <v>3</v>
      </c>
      <c r="C8" s="14" t="n">
        <v>4</v>
      </c>
      <c r="D8" s="15" t="n">
        <v>39.99966051973469</v>
      </c>
      <c r="E8" s="20" t="n">
        <v>33.3285521728457</v>
      </c>
      <c r="F8" s="15" t="n">
        <v>20.00039104550552</v>
      </c>
      <c r="G8" s="15" t="n">
        <v>157.4</v>
      </c>
      <c r="H8" s="15" t="n">
        <v>157.156</v>
      </c>
      <c r="I8" s="15" t="n">
        <v>-0.2439999999999998</v>
      </c>
      <c r="J8" s="15" t="n">
        <v>-1.219976146690549</v>
      </c>
    </row>
    <row r="9">
      <c r="B9" s="17" t="n">
        <v>4</v>
      </c>
      <c r="C9" s="17" t="n">
        <v>5</v>
      </c>
      <c r="D9" s="18" t="n">
        <v>60.00005156524021</v>
      </c>
      <c r="E9" s="21" t="n">
        <v>21.5171367288983</v>
      </c>
      <c r="F9" s="18" t="n">
        <v>19.64940836370167</v>
      </c>
      <c r="G9" s="18" t="n">
        <v>157.156</v>
      </c>
      <c r="H9" s="18" t="n">
        <v>156.92</v>
      </c>
      <c r="I9" s="18" t="n">
        <v>-0.2360000000000184</v>
      </c>
      <c r="J9" s="18" t="n">
        <v>-1.201053973899697</v>
      </c>
    </row>
    <row r="10">
      <c r="B10" s="14" t="n">
        <v>5</v>
      </c>
      <c r="C10" s="14" t="n">
        <v>6</v>
      </c>
      <c r="D10" s="15" t="n">
        <v>79.64945992894187</v>
      </c>
      <c r="E10" s="20" t="n">
        <v>11.75321460115481</v>
      </c>
      <c r="F10" s="15" t="n">
        <v>20.00032592257641</v>
      </c>
      <c r="G10" s="15" t="n">
        <v>156.92</v>
      </c>
      <c r="H10" s="15" t="n">
        <v>156.647</v>
      </c>
      <c r="I10" s="15" t="n">
        <v>-0.2729999999999961</v>
      </c>
      <c r="J10" s="15" t="n">
        <v>-1.364977756146629</v>
      </c>
    </row>
    <row r="11">
      <c r="B11" s="17" t="n">
        <v>6</v>
      </c>
      <c r="C11" s="17" t="n">
        <v>7</v>
      </c>
      <c r="D11" s="18" t="n">
        <v>99.64978585151827</v>
      </c>
      <c r="E11" s="21" t="n">
        <v>11.75379816831193</v>
      </c>
      <c r="F11" s="18" t="n">
        <v>19.99934688940773</v>
      </c>
      <c r="G11" s="18" t="n">
        <v>156.647</v>
      </c>
      <c r="H11" s="18" t="n">
        <v>156.245</v>
      </c>
      <c r="I11" s="18" t="n">
        <v>-0.4019999999999868</v>
      </c>
      <c r="J11" s="18" t="n">
        <v>-2.010065639757959</v>
      </c>
    </row>
    <row r="12">
      <c r="B12" s="14" t="n">
        <v>7</v>
      </c>
      <c r="C12" s="14" t="n">
        <v>8</v>
      </c>
      <c r="D12" s="15" t="n">
        <v>119.649132740926</v>
      </c>
      <c r="E12" s="20" t="n">
        <v>8.582658553096683</v>
      </c>
      <c r="F12" s="15" t="n">
        <v>19.98176388556129</v>
      </c>
      <c r="G12" s="15" t="n">
        <v>156.245</v>
      </c>
      <c r="H12" s="15" t="n">
        <v>155.957</v>
      </c>
      <c r="I12" s="15" t="n">
        <v>-0.2880000000000109</v>
      </c>
      <c r="J12" s="15" t="n">
        <v>-1.441314198533384</v>
      </c>
    </row>
    <row r="13">
      <c r="B13" s="17" t="n">
        <v>8</v>
      </c>
      <c r="C13" s="17" t="n">
        <v>9</v>
      </c>
      <c r="D13" s="18" t="n">
        <v>139.6308966264873</v>
      </c>
      <c r="E13" s="21" t="n">
        <v>6.652765149557938</v>
      </c>
      <c r="F13" s="18" t="n">
        <v>19.99966784746167</v>
      </c>
      <c r="G13" s="18" t="n">
        <v>155.957</v>
      </c>
      <c r="H13" s="18" t="n">
        <v>155.425</v>
      </c>
      <c r="I13" s="18" t="n">
        <v>-0.5319999999999823</v>
      </c>
      <c r="J13" s="18" t="n">
        <v>-2.660044177021185</v>
      </c>
    </row>
    <row r="14">
      <c r="B14" s="14" t="n">
        <v>9</v>
      </c>
      <c r="C14" s="14" t="n">
        <v>10</v>
      </c>
      <c r="D14" s="15" t="n">
        <v>159.630564473949</v>
      </c>
      <c r="E14" s="20" t="n">
        <v>6.652433269860285</v>
      </c>
      <c r="F14" s="15" t="n">
        <v>20.00066111260908</v>
      </c>
      <c r="G14" s="15" t="n">
        <v>155.425</v>
      </c>
      <c r="H14" s="15" t="n">
        <v>154.83</v>
      </c>
      <c r="I14" s="15" t="n">
        <v>-0.5949999999999989</v>
      </c>
      <c r="J14" s="15" t="n">
        <v>-2.974901662749994</v>
      </c>
    </row>
    <row r="15">
      <c r="B15" s="17" t="n">
        <v>10</v>
      </c>
      <c r="C15" s="17" t="n">
        <v>11</v>
      </c>
      <c r="D15" s="18" t="n">
        <v>179.6312255865581</v>
      </c>
      <c r="E15" s="21" t="n">
        <v>6.217440572527138</v>
      </c>
      <c r="F15" s="18" t="n">
        <v>19.99963699784608</v>
      </c>
      <c r="G15" s="18" t="n">
        <v>154.83</v>
      </c>
      <c r="H15" s="18" t="n">
        <v>154.215</v>
      </c>
      <c r="I15" s="18" t="n">
        <v>-0.6150000000000091</v>
      </c>
      <c r="J15" s="18" t="n">
        <v>-3.075055812594216</v>
      </c>
    </row>
    <row r="16">
      <c r="B16" s="14" t="n">
        <v>11</v>
      </c>
      <c r="C16" s="14" t="n">
        <v>12</v>
      </c>
      <c r="D16" s="15" t="n">
        <v>199.6308625844041</v>
      </c>
      <c r="E16" s="20" t="n">
        <v>5.929232561264232</v>
      </c>
      <c r="F16" s="15" t="n">
        <v>19.99999512422783</v>
      </c>
      <c r="G16" s="15" t="n">
        <v>154.215</v>
      </c>
      <c r="H16" s="15" t="n">
        <v>153.605</v>
      </c>
      <c r="I16" s="15" t="n">
        <v>-0.6100000000000136</v>
      </c>
      <c r="J16" s="15" t="n">
        <v>-3.050000743555506</v>
      </c>
    </row>
    <row r="17">
      <c r="B17" s="17" t="n">
        <v>12</v>
      </c>
      <c r="C17" s="17" t="n">
        <v>13</v>
      </c>
      <c r="D17" s="18" t="n">
        <v>219.630857708632</v>
      </c>
      <c r="E17" s="21" t="n">
        <v>5.929232560795944</v>
      </c>
      <c r="F17" s="18" t="n">
        <v>19.99999512608351</v>
      </c>
      <c r="G17" s="18" t="n">
        <v>153.605</v>
      </c>
      <c r="H17" s="18" t="n">
        <v>152.93</v>
      </c>
      <c r="I17" s="18" t="n">
        <v>-0.6749999999999829</v>
      </c>
      <c r="J17" s="18" t="n">
        <v>-3.375000822473523</v>
      </c>
    </row>
    <row r="18">
      <c r="B18" s="14" t="n">
        <v>13</v>
      </c>
      <c r="C18" s="14" t="n">
        <v>14</v>
      </c>
      <c r="D18" s="15" t="n">
        <v>239.6308528347155</v>
      </c>
      <c r="E18" s="20" t="n">
        <v>6.387648206150747</v>
      </c>
      <c r="F18" s="15" t="n">
        <v>19.99915623219881</v>
      </c>
      <c r="G18" s="15" t="n">
        <v>152.93</v>
      </c>
      <c r="H18" s="15" t="n">
        <v>152.37</v>
      </c>
      <c r="I18" s="15" t="n">
        <v>-0.5600000000000023</v>
      </c>
      <c r="J18" s="15" t="n">
        <v>-2.800118132475997</v>
      </c>
    </row>
    <row r="19">
      <c r="B19" s="17" t="n">
        <v>14</v>
      </c>
      <c r="C19" s="17" t="n">
        <v>15</v>
      </c>
      <c r="D19" s="18" t="n">
        <v>259.6300090669143</v>
      </c>
      <c r="E19" s="21" t="n">
        <v>6.571765277455944</v>
      </c>
      <c r="F19" s="18" t="n">
        <v>20.00041704467697</v>
      </c>
      <c r="G19" s="18" t="n">
        <v>152.37</v>
      </c>
      <c r="H19" s="18" t="n">
        <v>152.06</v>
      </c>
      <c r="I19" s="18" t="n">
        <v>-0.3100000000000023</v>
      </c>
      <c r="J19" s="18" t="n">
        <v>-1.549967679711497</v>
      </c>
    </row>
    <row r="20">
      <c r="B20" s="14" t="n">
        <v>15</v>
      </c>
      <c r="C20" s="14" t="n">
        <v>16</v>
      </c>
      <c r="D20" s="15" t="n">
        <v>279.6304261115912</v>
      </c>
      <c r="E20" s="20" t="n">
        <v>6.57209315452677</v>
      </c>
      <c r="F20" s="15" t="n">
        <v>19.99942361740394</v>
      </c>
      <c r="G20" s="15" t="n">
        <v>152.06</v>
      </c>
      <c r="H20" s="15" t="n">
        <v>151.82</v>
      </c>
      <c r="I20" s="15" t="n">
        <v>-0.2400000000000091</v>
      </c>
      <c r="J20" s="15" t="n">
        <v>-1.200034583952488</v>
      </c>
    </row>
    <row r="21">
      <c r="B21" s="17" t="n">
        <v>16</v>
      </c>
      <c r="C21" s="17" t="n">
        <v>17</v>
      </c>
      <c r="D21" s="18" t="n">
        <v>299.6298497289952</v>
      </c>
      <c r="E21" s="21" t="n">
        <v>3.113857815462628</v>
      </c>
      <c r="F21" s="18" t="n">
        <v>19.99251772491359</v>
      </c>
      <c r="G21" s="18" t="n">
        <v>151.82</v>
      </c>
      <c r="H21" s="18" t="n">
        <v>151.615</v>
      </c>
      <c r="I21" s="18" t="n">
        <v>-0.2049999999999841</v>
      </c>
      <c r="J21" s="18" t="n">
        <v>-1.025383610111918</v>
      </c>
    </row>
    <row r="22">
      <c r="B22" s="14" t="n">
        <v>17</v>
      </c>
      <c r="C22" s="14" t="n">
        <v>18</v>
      </c>
      <c r="D22" s="15" t="n">
        <v>319.6223674539087</v>
      </c>
      <c r="E22" s="20" t="n">
        <v>2.38701737573923</v>
      </c>
      <c r="F22" s="15" t="n">
        <v>20.00035444779649</v>
      </c>
      <c r="G22" s="15" t="n">
        <v>151.615</v>
      </c>
      <c r="H22" s="15" t="n">
        <v>151.69</v>
      </c>
      <c r="I22" s="15" t="n">
        <v>0.07499999999998863</v>
      </c>
      <c r="J22" s="15" t="n">
        <v>0.3749933542215381</v>
      </c>
    </row>
    <row r="23">
      <c r="B23" s="17" t="n">
        <v>18</v>
      </c>
      <c r="C23" s="17" t="n">
        <v>19</v>
      </c>
      <c r="D23" s="18" t="n">
        <v>339.6227219017052</v>
      </c>
      <c r="E23" s="21" t="n">
        <v>2.384274295048018</v>
      </c>
      <c r="F23" s="18" t="n">
        <v>19.99931368713735</v>
      </c>
      <c r="G23" s="18" t="n">
        <v>151.69</v>
      </c>
      <c r="H23" s="18" t="n">
        <v>151.875</v>
      </c>
      <c r="I23" s="18" t="n">
        <v>0.1850000000000023</v>
      </c>
      <c r="J23" s="18" t="n">
        <v>0.9250317430591924</v>
      </c>
    </row>
    <row r="24">
      <c r="B24" s="14" t="n">
        <v>19</v>
      </c>
      <c r="C24" s="14" t="n">
        <v>20</v>
      </c>
      <c r="D24" s="15" t="n">
        <v>359.6220355888426</v>
      </c>
      <c r="E24" s="20" t="n">
        <v>1.03141890910164</v>
      </c>
      <c r="F24" s="15" t="n">
        <v>19.99924038678172</v>
      </c>
      <c r="G24" s="15" t="n">
        <v>151.875</v>
      </c>
      <c r="H24" s="15" t="n">
        <v>152.195</v>
      </c>
      <c r="I24" s="15" t="n">
        <v>0.3199999999999932</v>
      </c>
      <c r="J24" s="15" t="n">
        <v>1.600060771365565</v>
      </c>
    </row>
    <row r="25">
      <c r="B25" s="17" t="n">
        <v>20</v>
      </c>
      <c r="C25" s="17" t="n">
        <v>21</v>
      </c>
      <c r="D25" s="18" t="n">
        <v>379.6212759756243</v>
      </c>
      <c r="E25" s="21" t="n">
        <v>0.7964396833309292</v>
      </c>
      <c r="F25" s="18" t="n">
        <v>19.99993219955716</v>
      </c>
      <c r="G25" s="18" t="n">
        <v>152.195</v>
      </c>
      <c r="H25" s="18" t="n">
        <v>152.568</v>
      </c>
      <c r="I25" s="18" t="n">
        <v>0.3730000000000189</v>
      </c>
      <c r="J25" s="18" t="n">
        <v>1.865006322412822</v>
      </c>
    </row>
    <row r="26">
      <c r="B26" s="14" t="n">
        <v>21</v>
      </c>
      <c r="C26" s="14" t="n">
        <v>22</v>
      </c>
      <c r="D26" s="15" t="n">
        <v>399.6212081751815</v>
      </c>
      <c r="E26" s="20" t="n">
        <v>0.7993042033086387</v>
      </c>
      <c r="F26" s="15" t="n">
        <v>19.99994612459978</v>
      </c>
      <c r="G26" s="15" t="n">
        <v>152.568</v>
      </c>
      <c r="H26" s="15" t="n">
        <v>153.21</v>
      </c>
      <c r="I26" s="15" t="n">
        <v>0.6419999999999959</v>
      </c>
      <c r="J26" s="15" t="n">
        <v>3.210008647025008</v>
      </c>
    </row>
    <row r="27">
      <c r="B27" s="17" t="n">
        <v>22</v>
      </c>
      <c r="C27" s="17" t="n">
        <v>23</v>
      </c>
      <c r="D27" s="18" t="n">
        <v>419.6211542997813</v>
      </c>
      <c r="E27" s="21" t="n">
        <v>3.374537269504062</v>
      </c>
      <c r="F27" s="18" t="n">
        <v>19.99567078064317</v>
      </c>
      <c r="G27" s="18" t="n">
        <v>153.21</v>
      </c>
      <c r="H27" s="18" t="n">
        <v>153.95</v>
      </c>
      <c r="I27" s="18" t="n">
        <v>0.7399999999999807</v>
      </c>
      <c r="J27" s="18" t="n">
        <v>3.70080107898325</v>
      </c>
    </row>
    <row r="28">
      <c r="B28" s="14" t="n">
        <v>23</v>
      </c>
      <c r="C28" s="14" t="n">
        <v>24</v>
      </c>
      <c r="D28" s="15" t="n">
        <v>439.6168250804244</v>
      </c>
      <c r="E28" s="20" t="n">
        <v>4.025607114730433</v>
      </c>
      <c r="F28" s="15" t="n">
        <v>19.99934289032063</v>
      </c>
      <c r="G28" s="15" t="n">
        <v>153.95</v>
      </c>
      <c r="H28" s="15" t="n">
        <v>154.518</v>
      </c>
      <c r="I28" s="15" t="n">
        <v>0.5680000000000121</v>
      </c>
      <c r="J28" s="15" t="n">
        <v>2.840093312640362</v>
      </c>
    </row>
    <row r="29">
      <c r="B29" s="17" t="n">
        <v>24</v>
      </c>
      <c r="C29" s="17" t="n">
        <v>25</v>
      </c>
      <c r="D29" s="18" t="n">
        <v>459.616167970745</v>
      </c>
      <c r="E29" s="21" t="n">
        <v>4.028263666598765</v>
      </c>
      <c r="F29" s="18" t="n">
        <v>20.00041064520446</v>
      </c>
      <c r="G29" s="18" t="n">
        <v>154.518</v>
      </c>
      <c r="H29" s="18" t="n">
        <v>154.618</v>
      </c>
      <c r="I29" s="18" t="n">
        <v>0.09999999999999432</v>
      </c>
      <c r="J29" s="18" t="n">
        <v>0.4999897340806426</v>
      </c>
    </row>
    <row r="30">
      <c r="B30" s="14" t="n">
        <v>25</v>
      </c>
      <c r="C30" s="14" t="n">
        <v>26</v>
      </c>
      <c r="D30" s="15" t="n">
        <v>479.6165786159495</v>
      </c>
      <c r="E30" s="20" t="n">
        <v>1.169314746584157</v>
      </c>
      <c r="F30" s="15" t="n">
        <v>19.99316345660134</v>
      </c>
      <c r="G30" s="15" t="n">
        <v>154.618</v>
      </c>
      <c r="H30" s="15" t="n">
        <v>154.34</v>
      </c>
      <c r="I30" s="15" t="n">
        <v>-0.2779999999999916</v>
      </c>
      <c r="J30" s="15" t="n">
        <v>-1.390475302237383</v>
      </c>
    </row>
    <row r="31">
      <c r="B31" s="17" t="n">
        <v>26</v>
      </c>
      <c r="C31" s="17" t="n">
        <v>27</v>
      </c>
      <c r="D31" s="18" t="n">
        <v>499.6097420725508</v>
      </c>
      <c r="E31" s="21" t="n">
        <v>0.4211163962688867</v>
      </c>
      <c r="F31" s="18" t="n">
        <v>20.0005402177041</v>
      </c>
      <c r="G31" s="18" t="n">
        <v>154.34</v>
      </c>
      <c r="H31" s="18" t="n">
        <v>153.85</v>
      </c>
      <c r="I31" s="18" t="n">
        <v>-0.4900000000000091</v>
      </c>
      <c r="J31" s="18" t="n">
        <v>-2.449933825118735</v>
      </c>
    </row>
    <row r="32">
      <c r="B32" s="14" t="n">
        <v>27</v>
      </c>
      <c r="C32" s="14" t="n">
        <v>28</v>
      </c>
      <c r="D32" s="15" t="n">
        <v>519.6102822902549</v>
      </c>
      <c r="E32" s="20" t="n">
        <v>0.4211374523866107</v>
      </c>
      <c r="F32" s="15" t="n">
        <v>19.9995402445517</v>
      </c>
      <c r="G32" s="15" t="n">
        <v>153.85</v>
      </c>
      <c r="H32" s="15" t="n">
        <v>153.267</v>
      </c>
      <c r="I32" s="15" t="n">
        <v>-0.5829999999999984</v>
      </c>
      <c r="J32" s="15" t="n">
        <v>-2.915067010897013</v>
      </c>
    </row>
    <row r="33">
      <c r="B33" s="17" t="n">
        <v>28</v>
      </c>
      <c r="C33" s="17" t="n">
        <v>29</v>
      </c>
      <c r="D33" s="18" t="n">
        <v>539.6098225348065</v>
      </c>
      <c r="E33" s="21" t="n">
        <v>0.5930197932321171</v>
      </c>
      <c r="F33" s="18" t="n">
        <v>20.00007124970913</v>
      </c>
      <c r="G33" s="18" t="n">
        <v>153.267</v>
      </c>
      <c r="H33" s="18" t="n">
        <v>152.36</v>
      </c>
      <c r="I33" s="18" t="n">
        <v>-0.9069999999999823</v>
      </c>
      <c r="J33" s="18" t="n">
        <v>-4.534983844185922</v>
      </c>
    </row>
    <row r="34">
      <c r="B34" s="14" t="n">
        <v>29</v>
      </c>
      <c r="C34" s="14" t="n">
        <v>30</v>
      </c>
      <c r="D34" s="15" t="n">
        <v>559.6098937845156</v>
      </c>
      <c r="E34" s="20" t="n">
        <v>0.5901551664569775</v>
      </c>
      <c r="F34" s="15" t="n">
        <v>20.00006092474336</v>
      </c>
      <c r="G34" s="15" t="n">
        <v>152.36</v>
      </c>
      <c r="H34" s="15" t="n">
        <v>151.48</v>
      </c>
      <c r="I34" s="15" t="n">
        <v>-0.8800000000000239</v>
      </c>
      <c r="J34" s="15" t="n">
        <v>-4.399986596597411</v>
      </c>
    </row>
    <row r="35">
      <c r="B35" s="17" t="n">
        <v>30</v>
      </c>
      <c r="C35" s="17" t="n">
        <v>31</v>
      </c>
      <c r="D35" s="18" t="n">
        <v>579.609954709259</v>
      </c>
      <c r="E35" s="21" t="n">
        <v>0.5901551664569775</v>
      </c>
      <c r="F35" s="18" t="n">
        <v>20.00006092474336</v>
      </c>
      <c r="G35" s="18" t="n">
        <v>151.48</v>
      </c>
      <c r="H35" s="18" t="n">
        <v>150.833</v>
      </c>
      <c r="I35" s="18" t="n">
        <v>-0.6469999999999914</v>
      </c>
      <c r="J35" s="18" t="n">
        <v>-3.234990145452738</v>
      </c>
    </row>
    <row r="36">
      <c r="B36" s="14" t="n">
        <v>31</v>
      </c>
      <c r="C36" s="14" t="n">
        <v>32</v>
      </c>
      <c r="D36" s="15" t="n">
        <v>599.6100156340024</v>
      </c>
      <c r="E36" s="20" t="n">
        <v>1.696222879138167</v>
      </c>
      <c r="F36" s="15" t="n">
        <v>19.99976362399054</v>
      </c>
      <c r="G36" s="15" t="n">
        <v>150.833</v>
      </c>
      <c r="H36" s="15" t="n">
        <v>150.194</v>
      </c>
      <c r="I36" s="15" t="n">
        <v>-0.63900000000001</v>
      </c>
      <c r="J36" s="15" t="n">
        <v>-3.195037761513857</v>
      </c>
    </row>
    <row r="37">
      <c r="B37" s="17" t="n">
        <v>32</v>
      </c>
      <c r="C37" s="17" t="n">
        <v>33</v>
      </c>
      <c r="D37" s="18" t="n">
        <v>619.609779257993</v>
      </c>
      <c r="E37" s="21" t="n">
        <v>1.713404131081535</v>
      </c>
      <c r="F37" s="18" t="n">
        <v>19.99994212530346</v>
      </c>
      <c r="G37" s="18" t="n">
        <v>150.194</v>
      </c>
      <c r="H37" s="18" t="n">
        <v>149.57</v>
      </c>
      <c r="I37" s="18" t="n">
        <v>-0.6239999999999952</v>
      </c>
      <c r="J37" s="18" t="n">
        <v>-3.120009028478762</v>
      </c>
    </row>
    <row r="38">
      <c r="B38" s="14" t="n">
        <v>33</v>
      </c>
      <c r="C38" s="14" t="n">
        <v>34</v>
      </c>
      <c r="D38" s="15" t="n">
        <v>639.6097213832965</v>
      </c>
      <c r="E38" s="20" t="n">
        <v>1.710540610440439</v>
      </c>
      <c r="F38" s="15" t="n">
        <v>19.99991225019502</v>
      </c>
      <c r="G38" s="15" t="n">
        <v>149.57</v>
      </c>
      <c r="H38" s="15" t="n">
        <v>148.895</v>
      </c>
      <c r="I38" s="15" t="n">
        <v>-0.6749999999999829</v>
      </c>
      <c r="J38" s="15" t="n">
        <v>-3.375014807844475</v>
      </c>
    </row>
    <row r="39">
      <c r="B39" s="17" t="n">
        <v>34</v>
      </c>
      <c r="C39" s="17" t="n">
        <v>35</v>
      </c>
      <c r="D39" s="18" t="n">
        <v>659.6096336334915</v>
      </c>
      <c r="E39" s="21" t="n">
        <v>5.200396920695765</v>
      </c>
      <c r="F39" s="18" t="n">
        <v>19.99128872782644</v>
      </c>
      <c r="G39" s="18" t="n">
        <v>148.895</v>
      </c>
      <c r="H39" s="18" t="n">
        <v>147.865</v>
      </c>
      <c r="I39" s="18" t="n">
        <v>-1.030000000000001</v>
      </c>
      <c r="J39" s="18" t="n">
        <v>-5.152244130046078</v>
      </c>
    </row>
    <row r="40">
      <c r="B40" s="14" t="n">
        <v>35</v>
      </c>
      <c r="C40" s="14" t="n">
        <v>36</v>
      </c>
      <c r="D40" s="15" t="n">
        <v>679.600922361318</v>
      </c>
      <c r="E40" s="20" t="n">
        <v>6.064637569022357</v>
      </c>
      <c r="F40" s="15" t="n">
        <v>19.99993282515519</v>
      </c>
      <c r="G40" s="15" t="n">
        <v>147.865</v>
      </c>
      <c r="H40" s="15" t="n">
        <v>147.035</v>
      </c>
      <c r="I40" s="15" t="n">
        <v>-0.8300000000000125</v>
      </c>
      <c r="J40" s="15" t="n">
        <v>-4.150013938827178</v>
      </c>
    </row>
    <row r="41">
      <c r="B41" s="17" t="n">
        <v>36</v>
      </c>
      <c r="C41" s="17" t="n">
        <v>37</v>
      </c>
      <c r="D41" s="18" t="n">
        <v>699.6008551864732</v>
      </c>
      <c r="E41" s="21" t="n">
        <v>6.067486319798829</v>
      </c>
      <c r="F41" s="18" t="n">
        <v>20.0000384983776</v>
      </c>
      <c r="G41" s="18" t="n">
        <v>147.035</v>
      </c>
      <c r="H41" s="18" t="n">
        <v>146.31</v>
      </c>
      <c r="I41" s="18" t="n">
        <v>-0.7249999999999943</v>
      </c>
      <c r="J41" s="18" t="n">
        <v>-3.624993022182463</v>
      </c>
    </row>
    <row r="42">
      <c r="B42" s="14" t="n">
        <v>37</v>
      </c>
      <c r="C42" s="14" t="n">
        <v>38</v>
      </c>
      <c r="D42" s="15" t="n">
        <v>719.6008936848508</v>
      </c>
      <c r="E42" s="20" t="n">
        <v>25.57319002654518</v>
      </c>
      <c r="F42" s="15" t="n">
        <v>19.71210394777959</v>
      </c>
      <c r="G42" s="15" t="n">
        <v>146.31</v>
      </c>
      <c r="H42" s="15" t="n">
        <v>145.58</v>
      </c>
      <c r="I42" s="15" t="n">
        <v>-0.7299999999999898</v>
      </c>
      <c r="J42" s="15" t="n">
        <v>-3.703308393329664</v>
      </c>
    </row>
    <row r="43">
      <c r="B43" s="17" t="n">
        <v>38</v>
      </c>
      <c r="C43" s="17" t="n">
        <v>39</v>
      </c>
      <c r="D43" s="18" t="n">
        <v>739.3129976326304</v>
      </c>
      <c r="E43" s="21" t="n">
        <v>30.40511937993037</v>
      </c>
      <c r="F43" s="18" t="n">
        <v>19.99957212028314</v>
      </c>
      <c r="G43" s="18" t="n">
        <v>145.58</v>
      </c>
      <c r="H43" s="18" t="n">
        <v>144.73</v>
      </c>
      <c r="I43" s="18" t="n">
        <v>-0.8500000000000227</v>
      </c>
      <c r="J43" s="18" t="n">
        <v>-4.250090926385224</v>
      </c>
    </row>
    <row r="44">
      <c r="B44" s="14" t="n">
        <v>39</v>
      </c>
      <c r="C44" s="14" t="n">
        <v>40</v>
      </c>
      <c r="D44" s="15" t="n">
        <v>759.3125697529135</v>
      </c>
      <c r="E44" s="20" t="n">
        <v>30.40759016034985</v>
      </c>
      <c r="F44" s="15" t="n">
        <v>20.00007824970167</v>
      </c>
      <c r="G44" s="15" t="n">
        <v>144.73</v>
      </c>
      <c r="H44" s="15" t="n">
        <v>143.58</v>
      </c>
      <c r="I44" s="15" t="n">
        <v>-1.149999999999977</v>
      </c>
      <c r="J44" s="15" t="n">
        <v>-5.749977503298674</v>
      </c>
    </row>
    <row r="45">
      <c r="B45" s="17" t="n">
        <v>40</v>
      </c>
      <c r="C45" s="17" t="n">
        <v>41</v>
      </c>
      <c r="D45" s="18" t="n">
        <v>779.3126480026152</v>
      </c>
      <c r="E45" s="21" t="n">
        <v>29.60982962160001</v>
      </c>
      <c r="F45" s="18" t="n">
        <v>19.99631528537996</v>
      </c>
      <c r="G45" s="18" t="n">
        <v>143.58</v>
      </c>
      <c r="H45" s="18" t="n">
        <v>142.695</v>
      </c>
      <c r="I45" s="18" t="n">
        <v>-0.8850000000000193</v>
      </c>
      <c r="J45" s="18" t="n">
        <v>-4.425815393334368</v>
      </c>
    </row>
    <row r="46">
      <c r="B46" s="14" t="n">
        <v>41</v>
      </c>
      <c r="C46" s="14" t="n">
        <v>42</v>
      </c>
      <c r="D46" s="15" t="n">
        <v>799.3089632879952</v>
      </c>
      <c r="E46" s="20" t="n">
        <v>28.10265165200773</v>
      </c>
      <c r="F46" s="15" t="n">
        <v>19.99988512548603</v>
      </c>
      <c r="G46" s="15" t="n">
        <v>142.695</v>
      </c>
      <c r="H46" s="15" t="n">
        <v>141.418</v>
      </c>
      <c r="I46" s="15" t="n">
        <v>-1.276999999999987</v>
      </c>
      <c r="J46" s="15" t="n">
        <v>-6.385036673899164</v>
      </c>
    </row>
    <row r="47">
      <c r="B47" s="17" t="n">
        <v>42</v>
      </c>
      <c r="C47" s="17" t="n">
        <v>43</v>
      </c>
      <c r="D47" s="18" t="n">
        <v>819.3088484134812</v>
      </c>
      <c r="E47" s="21" t="n">
        <v>28.10265165452132</v>
      </c>
      <c r="F47" s="18" t="n">
        <v>19.99988512384298</v>
      </c>
      <c r="G47" s="18" t="n">
        <v>141.418</v>
      </c>
      <c r="H47" s="18" t="n">
        <v>140.3</v>
      </c>
      <c r="I47" s="18" t="n">
        <v>-1.117999999999995</v>
      </c>
      <c r="J47" s="18" t="n">
        <v>-5.590032108070283</v>
      </c>
    </row>
    <row r="48">
      <c r="B48" s="14" t="n">
        <v>43</v>
      </c>
      <c r="C48" s="14" t="n">
        <v>44</v>
      </c>
      <c r="D48" s="15" t="n">
        <v>839.3087335373242</v>
      </c>
      <c r="E48" s="20" t="n">
        <v>28.10517865184612</v>
      </c>
      <c r="F48" s="15" t="n">
        <v>20.00035619763897</v>
      </c>
      <c r="G48" s="15" t="n">
        <v>140.3</v>
      </c>
      <c r="H48" s="15" t="n">
        <v>139.309</v>
      </c>
      <c r="I48" s="15" t="n">
        <v>-0.9910000000000139</v>
      </c>
      <c r="J48" s="15" t="n">
        <v>-4.954911753606672</v>
      </c>
    </row>
    <row r="49">
      <c r="B49" s="17" t="n">
        <v>44</v>
      </c>
      <c r="C49" s="17" t="n">
        <v>45</v>
      </c>
      <c r="D49" s="18" t="n">
        <v>859.3090897349632</v>
      </c>
      <c r="E49" s="21" t="n">
        <v>30.83403567390555</v>
      </c>
      <c r="F49" s="18" t="n">
        <v>19.92184120399985</v>
      </c>
      <c r="G49" s="18" t="n">
        <v>139.309</v>
      </c>
      <c r="H49" s="18" t="n">
        <v>138.16</v>
      </c>
      <c r="I49" s="18" t="n">
        <v>-1.149000000000001</v>
      </c>
      <c r="J49" s="18" t="n">
        <v>-5.767539195972048</v>
      </c>
    </row>
    <row r="50">
      <c r="B50" s="14" t="n">
        <v>45</v>
      </c>
      <c r="C50" s="14" t="n">
        <v>46</v>
      </c>
      <c r="D50" s="15" t="n">
        <v>879.2309309389631</v>
      </c>
      <c r="E50" s="20" t="n">
        <v>40.20355394027269</v>
      </c>
      <c r="F50" s="15" t="n">
        <v>19.99984312467153</v>
      </c>
      <c r="G50" s="15" t="n">
        <v>138.16</v>
      </c>
      <c r="H50" s="15" t="n">
        <v>137.108</v>
      </c>
      <c r="I50" s="15" t="n">
        <v>-1.051999999999992</v>
      </c>
      <c r="J50" s="15" t="n">
        <v>-5.260041258534972</v>
      </c>
    </row>
    <row r="51">
      <c r="B51" s="17" t="n">
        <v>46</v>
      </c>
      <c r="C51" s="17" t="n">
        <v>47</v>
      </c>
      <c r="D51" s="18" t="n">
        <v>899.2307740636346</v>
      </c>
      <c r="E51" s="21" t="n">
        <v>40.20355394027269</v>
      </c>
      <c r="F51" s="18" t="n">
        <v>19.99984312467153</v>
      </c>
      <c r="G51" s="18" t="n">
        <v>137.108</v>
      </c>
      <c r="H51" s="18" t="n">
        <v>136.575</v>
      </c>
      <c r="I51" s="18" t="n">
        <v>-0.5330000000000155</v>
      </c>
      <c r="J51" s="18" t="n">
        <v>-2.66502090380156</v>
      </c>
    </row>
    <row r="52">
      <c r="B52" s="14" t="n">
        <v>47</v>
      </c>
      <c r="C52" s="14" t="n">
        <v>48</v>
      </c>
      <c r="D52" s="15" t="n">
        <v>919.2306171883062</v>
      </c>
      <c r="E52" s="20" t="n">
        <v>34.0914815579011</v>
      </c>
      <c r="F52" s="15" t="n">
        <v>19.83351491700982</v>
      </c>
      <c r="G52" s="15" t="n">
        <v>136.575</v>
      </c>
      <c r="H52" s="15" t="n">
        <v>136.26</v>
      </c>
      <c r="I52" s="15" t="n">
        <v>-0.3149999999999977</v>
      </c>
      <c r="J52" s="15" t="n">
        <v>-1.588220753195109</v>
      </c>
    </row>
    <row r="53">
      <c r="B53" s="17" t="n">
        <v>48</v>
      </c>
      <c r="C53" s="17" t="n">
        <v>49</v>
      </c>
      <c r="D53" s="18" t="n">
        <v>939.0641321053159</v>
      </c>
      <c r="E53" s="21" t="n">
        <v>25.1248862640832</v>
      </c>
      <c r="F53" s="18" t="n">
        <v>20.00034319790465</v>
      </c>
      <c r="G53" s="18" t="n">
        <v>136.26</v>
      </c>
      <c r="H53" s="18" t="n">
        <v>135.875</v>
      </c>
      <c r="I53" s="18" t="n">
        <v>-0.3849999999999909</v>
      </c>
      <c r="J53" s="18" t="n">
        <v>-1.924966967768461</v>
      </c>
    </row>
    <row r="54">
      <c r="B54" s="14" t="n">
        <v>49</v>
      </c>
      <c r="C54" s="14" t="n">
        <v>50</v>
      </c>
      <c r="D54" s="15" t="n">
        <v>959.0644753032205</v>
      </c>
      <c r="E54" s="20" t="n">
        <v>15.48890337425728</v>
      </c>
      <c r="F54" s="15" t="n">
        <v>19.86131959419757</v>
      </c>
      <c r="G54" s="15" t="n">
        <v>135.875</v>
      </c>
      <c r="H54" s="15" t="n">
        <v>135.37</v>
      </c>
      <c r="I54" s="15" t="n">
        <v>-0.5049999999999955</v>
      </c>
      <c r="J54" s="15" t="n">
        <v>-2.54263065253494</v>
      </c>
    </row>
    <row r="55">
      <c r="B55" s="17" t="n">
        <v>50</v>
      </c>
      <c r="C55" s="17" t="n">
        <v>51</v>
      </c>
      <c r="D55" s="18" t="n">
        <v>978.9257948974181</v>
      </c>
      <c r="E55" s="21" t="n">
        <v>10.76325827199376</v>
      </c>
      <c r="F55" s="18" t="n">
        <v>19.99985322450273</v>
      </c>
      <c r="G55" s="18" t="n">
        <v>135.37</v>
      </c>
      <c r="H55" s="18" t="n">
        <v>135</v>
      </c>
      <c r="I55" s="18" t="n">
        <v>-0.3700000000000045</v>
      </c>
      <c r="J55" s="18" t="n">
        <v>-1.850013576833157</v>
      </c>
    </row>
    <row r="56">
      <c r="B56" s="14" t="n">
        <v>51</v>
      </c>
      <c r="C56" s="14" t="n">
        <v>52</v>
      </c>
      <c r="D56" s="15" t="n">
        <v>998.9256481219209</v>
      </c>
      <c r="E56" s="20" t="n">
        <v>10.76044383574781</v>
      </c>
      <c r="F56" s="15" t="n">
        <v>19.99966649726271</v>
      </c>
      <c r="G56" s="15" t="n">
        <v>135</v>
      </c>
      <c r="H56" s="15" t="n">
        <v>134.805</v>
      </c>
      <c r="I56" s="15" t="n">
        <v>-0.1949999999999932</v>
      </c>
      <c r="J56" s="15" t="n">
        <v>-0.9750162585295221</v>
      </c>
    </row>
    <row r="57">
      <c r="B57" s="17" t="n">
        <v>52</v>
      </c>
      <c r="C57" s="17" t="n">
        <v>53</v>
      </c>
      <c r="D57" s="18" t="n">
        <v>1018.925314619184</v>
      </c>
      <c r="E57" s="21" t="n">
        <v>10.76325827207568</v>
      </c>
      <c r="F57" s="18" t="n">
        <v>19.99985322450817</v>
      </c>
      <c r="G57" s="18" t="n">
        <v>134.805</v>
      </c>
      <c r="H57" s="18" t="n">
        <v>134.555</v>
      </c>
      <c r="I57" s="18" t="n">
        <v>-0.25</v>
      </c>
      <c r="J57" s="18" t="n">
        <v>-1.250009173535562</v>
      </c>
    </row>
    <row r="58">
      <c r="B58" s="14" t="n">
        <v>53</v>
      </c>
      <c r="C58" s="14" t="n">
        <v>54</v>
      </c>
      <c r="D58" s="15" t="n">
        <v>1038.925167843692</v>
      </c>
      <c r="E58" s="20" t="n">
        <v>1.899675426615526</v>
      </c>
      <c r="F58" s="15" t="n">
        <v>19.93995892627612</v>
      </c>
      <c r="G58" s="15" t="n">
        <v>134.555</v>
      </c>
      <c r="H58" s="15" t="n">
        <v>134.35</v>
      </c>
      <c r="I58" s="15" t="n">
        <v>-0.2050000000000125</v>
      </c>
      <c r="J58" s="15" t="n">
        <v>-1.028086370478283</v>
      </c>
    </row>
    <row r="59">
      <c r="B59" s="17" t="n">
        <v>54</v>
      </c>
      <c r="C59" s="17" t="n">
        <v>55</v>
      </c>
      <c r="D59" s="18" t="n">
        <v>1058.865126769968</v>
      </c>
      <c r="E59" s="21" t="n">
        <v>346.3815602090976</v>
      </c>
      <c r="F59" s="18" t="n">
        <v>19.72352141456646</v>
      </c>
      <c r="G59" s="18" t="n">
        <v>134.35</v>
      </c>
      <c r="H59" s="18" t="n">
        <v>134.16</v>
      </c>
      <c r="I59" s="18" t="n">
        <v>-0.1899999999999977</v>
      </c>
      <c r="J59" s="18" t="n">
        <v>-0.9633168236361513</v>
      </c>
    </row>
    <row r="60">
      <c r="B60" s="14" t="n">
        <v>55</v>
      </c>
      <c r="C60" s="14" t="n">
        <v>56</v>
      </c>
      <c r="D60" s="15" t="n">
        <v>1078.588648184534</v>
      </c>
      <c r="E60" s="20" t="n">
        <v>339.540853071658</v>
      </c>
      <c r="F60" s="15" t="n">
        <v>20.00060504090716</v>
      </c>
      <c r="G60" s="15" t="n">
        <v>134.16</v>
      </c>
      <c r="H60" s="15" t="n">
        <v>133.76</v>
      </c>
      <c r="I60" s="15" t="n">
        <v>-0.4000000000000057</v>
      </c>
      <c r="J60" s="15" t="n">
        <v>-1.99993949773963</v>
      </c>
    </row>
    <row r="61">
      <c r="B61" s="17" t="n">
        <v>56</v>
      </c>
      <c r="C61" s="17" t="n">
        <v>57</v>
      </c>
      <c r="D61" s="18" t="n">
        <v>1098.589253225442</v>
      </c>
      <c r="E61" s="21" t="n">
        <v>339.5425358550153</v>
      </c>
      <c r="F61" s="18" t="n">
        <v>19.99931858829097</v>
      </c>
      <c r="G61" s="18" t="n">
        <v>133.76</v>
      </c>
      <c r="H61" s="18" t="n">
        <v>133.47</v>
      </c>
      <c r="I61" s="18" t="n">
        <v>-0.289999999999992</v>
      </c>
      <c r="J61" s="18" t="n">
        <v>-1.450049404032089</v>
      </c>
    </row>
    <row r="62">
      <c r="B62" s="14" t="n">
        <v>57</v>
      </c>
      <c r="C62" s="14" t="n">
        <v>58</v>
      </c>
      <c r="D62" s="15" t="n">
        <v>1118.588571813732</v>
      </c>
      <c r="E62" s="20" t="n">
        <v>335.1706145900494</v>
      </c>
      <c r="F62" s="15" t="n">
        <v>19.99201743140632</v>
      </c>
      <c r="G62" s="15" t="n">
        <v>133.47</v>
      </c>
      <c r="H62" s="15" t="n">
        <v>132.99</v>
      </c>
      <c r="I62" s="15" t="n">
        <v>-0.4799999999999898</v>
      </c>
      <c r="J62" s="15" t="n">
        <v>-2.400958290712258</v>
      </c>
    </row>
    <row r="63">
      <c r="B63" s="17" t="n">
        <v>58</v>
      </c>
      <c r="C63" s="17" t="n">
        <v>59</v>
      </c>
      <c r="D63" s="18" t="n">
        <v>1138.580589245139</v>
      </c>
      <c r="E63" s="21" t="n">
        <v>334.5765614483142</v>
      </c>
      <c r="F63" s="18" t="n">
        <v>19.99978412475449</v>
      </c>
      <c r="G63" s="18" t="n">
        <v>132.99</v>
      </c>
      <c r="H63" s="18" t="n">
        <v>132.335</v>
      </c>
      <c r="I63" s="18" t="n">
        <v>-0.6550000000000011</v>
      </c>
      <c r="J63" s="18" t="n">
        <v>-3.275035349953017</v>
      </c>
    </row>
    <row r="64">
      <c r="B64" s="14" t="n">
        <v>59</v>
      </c>
      <c r="C64" s="14" t="n">
        <v>60</v>
      </c>
      <c r="D64" s="15" t="n">
        <v>1158.580373369893</v>
      </c>
      <c r="E64" s="20" t="n">
        <v>331.2164445905937</v>
      </c>
      <c r="F64" s="15" t="n">
        <v>19.99783413170018</v>
      </c>
      <c r="G64" s="15" t="n">
        <v>132.335</v>
      </c>
      <c r="H64" s="15" t="n">
        <v>131.335</v>
      </c>
      <c r="I64" s="15" t="n">
        <v>-1</v>
      </c>
      <c r="J64" s="15" t="n">
        <v>-5.000541525718625</v>
      </c>
    </row>
    <row r="65">
      <c r="B65" s="17" t="n">
        <v>60</v>
      </c>
      <c r="C65" s="17" t="n">
        <v>61</v>
      </c>
      <c r="D65" s="18" t="n">
        <v>1178.578207501593</v>
      </c>
      <c r="E65" s="21" t="n">
        <v>330.961534461325</v>
      </c>
      <c r="F65" s="18" t="n">
        <v>20.00013650079133</v>
      </c>
      <c r="G65" s="18" t="n">
        <v>131.335</v>
      </c>
      <c r="H65" s="18" t="n">
        <v>130.28</v>
      </c>
      <c r="I65" s="18" t="n">
        <v>-1.055000000000007</v>
      </c>
      <c r="J65" s="18" t="n">
        <v>-5.274963998162035</v>
      </c>
    </row>
    <row r="66">
      <c r="B66" s="14" t="n">
        <v>61</v>
      </c>
      <c r="C66" s="14" t="n">
        <v>62</v>
      </c>
      <c r="D66" s="15" t="n">
        <v>1198.578344002385</v>
      </c>
      <c r="E66" s="20" t="n">
        <v>330.9615344587348</v>
      </c>
      <c r="F66" s="15" t="n">
        <v>20.00013649916283</v>
      </c>
      <c r="G66" s="15" t="n">
        <v>130.28</v>
      </c>
      <c r="H66" s="15" t="n">
        <v>128.9</v>
      </c>
      <c r="I66" s="15" t="n">
        <v>-1.379999999999995</v>
      </c>
      <c r="J66" s="15" t="n">
        <v>-6.899952908110202</v>
      </c>
    </row>
    <row r="67">
      <c r="B67" s="17" t="n">
        <v>62</v>
      </c>
      <c r="C67" s="17" t="n">
        <v>63</v>
      </c>
      <c r="D67" s="18" t="n">
        <v>1218.578480501548</v>
      </c>
      <c r="E67" s="21" t="n">
        <v>330.9640391703808</v>
      </c>
      <c r="F67" s="18" t="n">
        <v>19.9996511215768</v>
      </c>
      <c r="G67" s="18" t="n">
        <v>128.9</v>
      </c>
      <c r="H67" s="18" t="n">
        <v>128.043</v>
      </c>
      <c r="I67" s="18" t="n">
        <v>-0.8569999999999993</v>
      </c>
      <c r="J67" s="18" t="n">
        <v>-4.285074748506075</v>
      </c>
    </row>
    <row r="68">
      <c r="B68" s="14" t="n">
        <v>63</v>
      </c>
      <c r="C68" s="14" t="n">
        <v>64</v>
      </c>
      <c r="D68" s="15" t="n">
        <v>1238.578131623124</v>
      </c>
      <c r="E68" s="20" t="n">
        <v>330.9615344588077</v>
      </c>
      <c r="F68" s="15" t="n">
        <v>20.0001364991487</v>
      </c>
      <c r="G68" s="15" t="n">
        <v>128.043</v>
      </c>
      <c r="H68" s="15" t="n">
        <v>127.646</v>
      </c>
      <c r="I68" s="15" t="n">
        <v>-0.3970000000000056</v>
      </c>
      <c r="J68" s="15" t="n">
        <v>-1.98498645255198</v>
      </c>
    </row>
    <row r="69">
      <c r="B69" s="17" t="n">
        <v>64</v>
      </c>
      <c r="C69" s="17" t="n">
        <v>65</v>
      </c>
      <c r="D69" s="18" t="n">
        <v>1258.578268122273</v>
      </c>
      <c r="E69" s="21" t="n">
        <v>330.9615344587348</v>
      </c>
      <c r="F69" s="18" t="n">
        <v>20.00013649916283</v>
      </c>
      <c r="G69" s="18" t="n">
        <v>127.646</v>
      </c>
      <c r="H69" s="18" t="n">
        <v>127.29</v>
      </c>
      <c r="I69" s="18" t="n">
        <v>-0.3559999999999945</v>
      </c>
      <c r="J69" s="18" t="n">
        <v>-1.779987851657393</v>
      </c>
    </row>
    <row r="70">
      <c r="B70" s="14" t="n">
        <v>65</v>
      </c>
      <c r="C70" s="14" t="n">
        <v>66</v>
      </c>
      <c r="D70" s="15" t="n">
        <v>1278.578404621436</v>
      </c>
      <c r="E70" s="20" t="n">
        <v>330.9601438507929</v>
      </c>
      <c r="F70" s="15" t="n">
        <v>19.99926221249138</v>
      </c>
      <c r="G70" s="15" t="n">
        <v>127.29</v>
      </c>
      <c r="H70" s="15" t="n">
        <v>126.98</v>
      </c>
      <c r="I70" s="15" t="n">
        <v>-0.3100000000000023</v>
      </c>
      <c r="J70" s="15" t="n">
        <v>-1.550057180641288</v>
      </c>
    </row>
    <row r="71">
      <c r="B71" s="17" t="n">
        <v>66</v>
      </c>
      <c r="C71" s="17" t="n">
        <v>67</v>
      </c>
      <c r="D71" s="18" t="n">
        <v>1298.577666833927</v>
      </c>
      <c r="E71" s="21" t="n">
        <v>330.9615344587348</v>
      </c>
      <c r="F71" s="18" t="n">
        <v>20.00013649916283</v>
      </c>
      <c r="G71" s="18" t="n">
        <v>126.98</v>
      </c>
      <c r="H71" s="18" t="n">
        <v>126.67</v>
      </c>
      <c r="I71" s="18" t="n">
        <v>-0.3100000000000023</v>
      </c>
      <c r="J71" s="18" t="n">
        <v>-1.549989421387091</v>
      </c>
    </row>
    <row r="72">
      <c r="B72" s="14" t="n">
        <v>67</v>
      </c>
      <c r="C72" s="14" t="n">
        <v>68</v>
      </c>
      <c r="D72" s="15" t="n">
        <v>1318.57780333309</v>
      </c>
      <c r="E72" s="20" t="n">
        <v>330.4559000894147</v>
      </c>
      <c r="F72" s="15" t="n">
        <v>19.99824304786905</v>
      </c>
      <c r="G72" s="15" t="n">
        <v>126.67</v>
      </c>
      <c r="H72" s="15" t="n">
        <v>126.583</v>
      </c>
      <c r="I72" s="15" t="n">
        <v>-0.0870000000000033</v>
      </c>
      <c r="J72" s="15" t="n">
        <v>-0.4350382170661424</v>
      </c>
    </row>
    <row r="73">
      <c r="B73" s="17" t="n">
        <v>68</v>
      </c>
      <c r="C73" s="17" t="n">
        <v>69</v>
      </c>
      <c r="D73" s="18" t="n">
        <v>1338.576046380959</v>
      </c>
      <c r="E73" s="21" t="n">
        <v>329.1826540159664</v>
      </c>
      <c r="F73" s="18" t="n">
        <v>19.99988730045522</v>
      </c>
      <c r="G73" s="18" t="n">
        <v>126.583</v>
      </c>
      <c r="H73" s="18" t="n">
        <v>126.444</v>
      </c>
      <c r="I73" s="18" t="n">
        <v>-0.1389999999999958</v>
      </c>
      <c r="J73" s="18" t="n">
        <v>-0.6950039163312285</v>
      </c>
    </row>
    <row r="74">
      <c r="B74" s="14" t="n">
        <v>69</v>
      </c>
      <c r="C74" s="14" t="n">
        <v>70</v>
      </c>
      <c r="D74" s="15" t="n">
        <v>1358.575933681414</v>
      </c>
      <c r="E74" s="20" t="n">
        <v>329.1826540131611</v>
      </c>
      <c r="F74" s="15" t="n">
        <v>19.99988729887048</v>
      </c>
      <c r="G74" s="15" t="n">
        <v>126.444</v>
      </c>
      <c r="H74" s="15" t="n">
        <v>126.4</v>
      </c>
      <c r="I74" s="15" t="n">
        <v>-0.04399999999999693</v>
      </c>
      <c r="J74" s="15" t="n">
        <v>-0.2200012397193952</v>
      </c>
    </row>
    <row r="75">
      <c r="B75" s="17" t="n">
        <v>70</v>
      </c>
      <c r="C75" s="17" t="n">
        <v>71</v>
      </c>
      <c r="D75" s="18" t="n">
        <v>1378.575820980285</v>
      </c>
      <c r="E75" s="21" t="n">
        <v>329.1826540159664</v>
      </c>
      <c r="F75" s="18" t="n">
        <v>19.99988730045522</v>
      </c>
      <c r="G75" s="18" t="n">
        <v>126.4</v>
      </c>
      <c r="H75" s="18" t="n">
        <v>126.178</v>
      </c>
      <c r="I75" s="18" t="n">
        <v>-0.2220000000000084</v>
      </c>
      <c r="J75" s="18" t="n">
        <v>-1.110006254860023</v>
      </c>
    </row>
    <row r="76">
      <c r="B76" s="14" t="n">
        <v>71</v>
      </c>
      <c r="C76" s="14" t="n">
        <v>72</v>
      </c>
      <c r="D76" s="15" t="n">
        <v>1398.57570828074</v>
      </c>
      <c r="E76" s="20" t="n">
        <v>329.1801937677088</v>
      </c>
      <c r="F76" s="15" t="n">
        <v>20.00039962019013</v>
      </c>
      <c r="G76" s="15" t="n">
        <v>126.178</v>
      </c>
      <c r="H76" s="15" t="n">
        <v>126.253</v>
      </c>
      <c r="I76" s="15" t="n">
        <v>0.07500000000000284</v>
      </c>
      <c r="J76" s="15" t="n">
        <v>0.3749925072711616</v>
      </c>
    </row>
    <row r="77">
      <c r="B77" s="17" t="n">
        <v>72</v>
      </c>
      <c r="C77" s="17" t="n">
        <v>73</v>
      </c>
      <c r="D77" s="18" t="n">
        <v>1418.57610790093</v>
      </c>
      <c r="E77" s="21" t="n">
        <v>329.1826540158949</v>
      </c>
      <c r="F77" s="18" t="n">
        <v>19.99988730047013</v>
      </c>
      <c r="G77" s="18" t="n">
        <v>126.253</v>
      </c>
      <c r="H77" s="18" t="n">
        <v>126.41</v>
      </c>
      <c r="I77" s="18" t="n">
        <v>0.1569999999999965</v>
      </c>
      <c r="J77" s="18" t="n">
        <v>0.7850044234814559</v>
      </c>
    </row>
    <row r="78">
      <c r="B78" s="14" t="n">
        <v>73</v>
      </c>
      <c r="C78" s="14" t="n">
        <v>74</v>
      </c>
      <c r="D78" s="15" t="n">
        <v>1438.5759952014</v>
      </c>
      <c r="E78" s="20" t="n">
        <v>329.1826540132327</v>
      </c>
      <c r="F78" s="15" t="n">
        <v>19.99988729885557</v>
      </c>
      <c r="G78" s="15" t="n">
        <v>126.41</v>
      </c>
      <c r="H78" s="15" t="n">
        <v>126.508</v>
      </c>
      <c r="I78" s="15" t="n">
        <v>0.09799999999999898</v>
      </c>
      <c r="J78" s="15" t="n">
        <v>0.4900027611935929</v>
      </c>
    </row>
    <row r="79">
      <c r="B79" s="17" t="n">
        <v>74</v>
      </c>
      <c r="C79" s="17" t="n">
        <v>75</v>
      </c>
      <c r="D79" s="18" t="n">
        <v>1458.575882500256</v>
      </c>
      <c r="E79" s="21" t="n">
        <v>329.1841216010487</v>
      </c>
      <c r="F79" s="18" t="n">
        <v>20.00074611201141</v>
      </c>
      <c r="G79" s="18" t="n">
        <v>126.508</v>
      </c>
      <c r="H79" s="18" t="n">
        <v>126.57</v>
      </c>
      <c r="I79" s="18" t="n">
        <v>0.06199999999999761</v>
      </c>
      <c r="J79" s="18" t="n">
        <v>0.3099884356952246</v>
      </c>
    </row>
    <row r="80">
      <c r="B80" s="14" t="n">
        <v>75</v>
      </c>
      <c r="C80" s="14" t="n">
        <v>76</v>
      </c>
      <c r="D80" s="15" t="n">
        <v>1478.576628612268</v>
      </c>
      <c r="E80" s="20" t="n">
        <v>329.1826540132327</v>
      </c>
      <c r="F80" s="15" t="n">
        <v>19.99988729885557</v>
      </c>
      <c r="G80" s="15" t="n">
        <v>126.57</v>
      </c>
      <c r="H80" s="15" t="n">
        <v>126.592</v>
      </c>
      <c r="I80" s="15" t="n">
        <v>0.02200000000000557</v>
      </c>
      <c r="J80" s="15" t="n">
        <v>0.1100006198598152</v>
      </c>
    </row>
    <row r="81">
      <c r="B81" s="17" t="n">
        <v>76</v>
      </c>
      <c r="C81" s="17" t="n">
        <v>77</v>
      </c>
      <c r="D81" s="18" t="n">
        <v>1498.576515911123</v>
      </c>
      <c r="E81" s="21" t="n">
        <v>329.1826540158949</v>
      </c>
      <c r="F81" s="18" t="n">
        <v>19.99988730047013</v>
      </c>
      <c r="G81" s="18" t="n">
        <v>126.592</v>
      </c>
      <c r="H81" s="18" t="n">
        <v>126.505</v>
      </c>
      <c r="I81" s="18" t="n">
        <v>-0.0870000000000033</v>
      </c>
      <c r="J81" s="18" t="n">
        <v>-0.4350024512286038</v>
      </c>
    </row>
    <row r="82">
      <c r="B82" s="14" t="n">
        <v>77</v>
      </c>
      <c r="C82" s="14" t="n">
        <v>78</v>
      </c>
      <c r="D82" s="15" t="n">
        <v>1518.576403211593</v>
      </c>
      <c r="E82" s="20" t="n">
        <v>331.319116198209</v>
      </c>
      <c r="F82" s="15" t="n">
        <v>19.99871568369704</v>
      </c>
      <c r="G82" s="15" t="n">
        <v>126.505</v>
      </c>
      <c r="H82" s="15" t="n">
        <v>126.3</v>
      </c>
      <c r="I82" s="15" t="n">
        <v>-0.2049999999999983</v>
      </c>
      <c r="J82" s="15" t="n">
        <v>-1.025065825437552</v>
      </c>
    </row>
    <row r="83">
      <c r="B83" s="17" t="n">
        <v>78</v>
      </c>
      <c r="C83" s="17" t="n">
        <v>79</v>
      </c>
      <c r="D83" s="18" t="n">
        <v>1538.57511889529</v>
      </c>
      <c r="E83" s="21" t="n">
        <v>331.5447907605449</v>
      </c>
      <c r="F83" s="18" t="n">
        <v>19.99909322830894</v>
      </c>
      <c r="G83" s="18" t="n">
        <v>126.3</v>
      </c>
      <c r="H83" s="18" t="n">
        <v>125.88</v>
      </c>
      <c r="I83" s="18" t="n">
        <v>-0.4200000000000017</v>
      </c>
      <c r="J83" s="18" t="n">
        <v>-2.100095215344499</v>
      </c>
    </row>
    <row r="84">
      <c r="B84" s="14" t="n">
        <v>79</v>
      </c>
      <c r="C84" s="14" t="n">
        <v>80</v>
      </c>
      <c r="D84" s="15" t="n">
        <v>1558.574212123599</v>
      </c>
      <c r="E84" s="20" t="n">
        <v>79.48544261479836</v>
      </c>
      <c r="F84" s="15" t="n">
        <v>19.25634142311981</v>
      </c>
      <c r="G84" s="15" t="n">
        <v>125.88</v>
      </c>
      <c r="H84" s="15" t="n">
        <v>125.529</v>
      </c>
      <c r="I84" s="15" t="n">
        <v>-0.3509999999999991</v>
      </c>
      <c r="J84" s="15" t="n">
        <v>-1.822776156111236</v>
      </c>
    </row>
    <row r="85">
      <c r="B85" s="17" t="n">
        <v>80</v>
      </c>
      <c r="C85" s="17" t="n">
        <v>81</v>
      </c>
      <c r="D85" s="18" t="n">
        <v>1577.830553546719</v>
      </c>
      <c r="E85" s="21" t="n">
        <v>61.53040694459421</v>
      </c>
      <c r="F85" s="18" t="n">
        <v>19.99612732487833</v>
      </c>
      <c r="G85" s="18" t="n">
        <v>125.529</v>
      </c>
      <c r="H85" s="18" t="n">
        <v>125.43</v>
      </c>
      <c r="I85" s="18" t="n">
        <v>-0.09899999999998954</v>
      </c>
      <c r="J85" s="18" t="n">
        <v>-0.495095867272349</v>
      </c>
    </row>
    <row r="86">
      <c r="B86" s="14" t="n">
        <v>81</v>
      </c>
      <c r="C86" s="14" t="n">
        <v>82</v>
      </c>
      <c r="D86" s="15" t="n">
        <v>1597.826680871598</v>
      </c>
      <c r="E86" s="20" t="n">
        <v>64.0140496623077</v>
      </c>
      <c r="F86" s="15" t="n">
        <v>19.99996632509168</v>
      </c>
      <c r="G86" s="15" t="n">
        <v>125.43</v>
      </c>
      <c r="H86" s="15" t="n">
        <v>125.67</v>
      </c>
      <c r="I86" s="15" t="n">
        <v>0.2399999999999949</v>
      </c>
      <c r="J86" s="15" t="n">
        <v>1.200002020497875</v>
      </c>
    </row>
    <row r="87">
      <c r="B87" s="17" t="n">
        <v>82</v>
      </c>
      <c r="C87" s="17" t="n">
        <v>83</v>
      </c>
      <c r="D87" s="18" t="n">
        <v>1617.826647196689</v>
      </c>
      <c r="E87" s="21" t="n">
        <v>64.0140496623077</v>
      </c>
      <c r="F87" s="18" t="n">
        <v>19.99996632509168</v>
      </c>
      <c r="G87" s="18" t="n">
        <v>125.67</v>
      </c>
      <c r="H87" s="18" t="n">
        <v>125.937</v>
      </c>
      <c r="I87" s="18" t="n">
        <v>0.2669999999999959</v>
      </c>
      <c r="J87" s="18" t="n">
        <v>1.335002247803894</v>
      </c>
    </row>
    <row r="88">
      <c r="B88" s="14" t="n">
        <v>83</v>
      </c>
      <c r="C88" s="14" t="n">
        <v>84</v>
      </c>
      <c r="D88" s="15" t="n">
        <v>1637.826613521781</v>
      </c>
      <c r="E88" s="20" t="n">
        <v>63.28630535190176</v>
      </c>
      <c r="F88" s="15" t="n">
        <v>19.99632878807625</v>
      </c>
      <c r="G88" s="15" t="n">
        <v>125.937</v>
      </c>
      <c r="H88" s="15" t="n">
        <v>125.57</v>
      </c>
      <c r="I88" s="15" t="n">
        <v>-0.3670000000000044</v>
      </c>
      <c r="J88" s="15" t="n">
        <v>-1.835336895534771</v>
      </c>
    </row>
    <row r="89">
      <c r="B89" s="17" t="n">
        <v>84</v>
      </c>
      <c r="C89" s="17" t="n">
        <v>85</v>
      </c>
      <c r="D89" s="18" t="n">
        <v>1657.822942309857</v>
      </c>
      <c r="E89" s="21" t="n">
        <v>61.96020429892038</v>
      </c>
      <c r="F89" s="18" t="n">
        <v>20.00065031477438</v>
      </c>
      <c r="G89" s="18" t="n">
        <v>125.57</v>
      </c>
      <c r="H89" s="18" t="n">
        <v>125.425</v>
      </c>
      <c r="I89" s="18" t="n">
        <v>-0.144999999999996</v>
      </c>
      <c r="J89" s="18" t="n">
        <v>-0.7249764268559069</v>
      </c>
    </row>
    <row r="90">
      <c r="B90" s="14" t="n">
        <v>85</v>
      </c>
      <c r="C90" s="14" t="n">
        <v>86</v>
      </c>
      <c r="D90" s="15" t="n">
        <v>1677.823592624632</v>
      </c>
      <c r="E90" s="20" t="n">
        <v>63.16324896032763</v>
      </c>
      <c r="F90" s="15" t="n">
        <v>19.99335579576212</v>
      </c>
      <c r="G90" s="15" t="n">
        <v>125.425</v>
      </c>
      <c r="H90" s="15" t="n">
        <v>125.24</v>
      </c>
      <c r="I90" s="15" t="n">
        <v>-0.1850000000000023</v>
      </c>
      <c r="J90" s="15" t="n">
        <v>-0.9253073965662917</v>
      </c>
    </row>
    <row r="91">
      <c r="B91" s="17" t="n">
        <v>86</v>
      </c>
      <c r="C91" s="17" t="n">
        <v>87</v>
      </c>
      <c r="D91" s="18" t="n">
        <v>1697.816948420394</v>
      </c>
      <c r="E91" s="21" t="n">
        <v>64.84309463990346</v>
      </c>
      <c r="F91" s="18" t="n">
        <v>20.00006532503521</v>
      </c>
      <c r="G91" s="18" t="n">
        <v>125.24</v>
      </c>
      <c r="H91" s="18" t="n">
        <v>124.9</v>
      </c>
      <c r="I91" s="18" t="n">
        <v>-0.3399999999999892</v>
      </c>
      <c r="J91" s="18" t="n">
        <v>-1.69999444739009</v>
      </c>
    </row>
  </sheetData>
  <autoFilter ref="B6:J91"/>
  <mergeCells count="2">
    <mergeCell ref="B3:J3"/>
    <mergeCell ref="B2:J2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G92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</cols>
  <sheetData>
    <row r="2" ht="28" customHeight="1">
      <c r="B2" s="1" t="inlineStr">
        <is>
          <t>Estaqueamento a cada 20 metros</t>
        </is>
      </c>
    </row>
    <row r="3" ht="30" customHeight="1">
      <c r="B3" s="2" t="inlineStr">
        <is>
          <t>Coordenadas e cota interpolada linearmente ao longo do eixo. No CAD e no QGIS, o grupo deverá gerar o perfil longitudinal a partir desta tabela e conferir a interpolação.</t>
        </is>
      </c>
    </row>
    <row r="5" ht="30" customHeight="1">
      <c r="B5" s="13" t="inlineStr">
        <is>
          <t>Estaca</t>
        </is>
      </c>
      <c r="C5" s="13" t="inlineStr">
        <is>
          <t>Estação (m)</t>
        </is>
      </c>
      <c r="D5" s="13" t="inlineStr">
        <is>
          <t>X (m)</t>
        </is>
      </c>
      <c r="E5" s="13" t="inlineStr">
        <is>
          <t>Y (m)</t>
        </is>
      </c>
      <c r="F5" s="13" t="inlineStr">
        <is>
          <t>Cota interpolada (m)</t>
        </is>
      </c>
      <c r="G5" s="13" t="inlineStr">
        <is>
          <t>Azimute do eixo (°)</t>
        </is>
      </c>
    </row>
    <row r="6">
      <c r="B6" s="16" t="inlineStr">
        <is>
          <t>0+000.00</t>
        </is>
      </c>
      <c r="C6" s="15" t="n">
        <v>0</v>
      </c>
      <c r="D6" s="15" t="n">
        <v>250844.876</v>
      </c>
      <c r="E6" s="15" t="n">
        <v>9133802.672</v>
      </c>
      <c r="F6" s="15" t="n">
        <v>157.65</v>
      </c>
      <c r="G6" s="20" t="n">
        <v>33.33012623561278</v>
      </c>
    </row>
    <row r="7">
      <c r="B7" s="19" t="inlineStr">
        <is>
          <t>0+020.00</t>
        </is>
      </c>
      <c r="C7" s="18" t="n">
        <v>20</v>
      </c>
      <c r="D7" s="18" t="n">
        <v>250855.8652442409</v>
      </c>
      <c r="E7" s="18" t="n">
        <v>9133819.38237136</v>
      </c>
      <c r="F7" s="18" t="n">
        <v>157.6349947773786</v>
      </c>
      <c r="G7" s="21" t="n">
        <v>33.33251980454336</v>
      </c>
    </row>
    <row r="8">
      <c r="B8" s="16" t="inlineStr">
        <is>
          <t>0+040.00</t>
        </is>
      </c>
      <c r="C8" s="15" t="n">
        <v>40</v>
      </c>
      <c r="D8" s="15" t="n">
        <v>250866.8551865238</v>
      </c>
      <c r="E8" s="15" t="n">
        <v>9133836.092283648</v>
      </c>
      <c r="F8" s="15" t="n">
        <v>157.3999958584217</v>
      </c>
      <c r="G8" s="20" t="n">
        <v>33.3285521728457</v>
      </c>
    </row>
    <row r="9">
      <c r="B9" s="19" t="inlineStr">
        <is>
          <t>0+060.00</t>
        </is>
      </c>
      <c r="C9" s="18" t="n">
        <v>60</v>
      </c>
      <c r="D9" s="18" t="n">
        <v>250877.843971668</v>
      </c>
      <c r="E9" s="18" t="n">
        <v>9133852.802956915</v>
      </c>
      <c r="F9" s="18" t="n">
        <v>157.1560006290836</v>
      </c>
      <c r="G9" s="21" t="n">
        <v>33.3285521728457</v>
      </c>
    </row>
    <row r="10">
      <c r="B10" s="16" t="inlineStr">
        <is>
          <t>0+080.00</t>
        </is>
      </c>
      <c r="C10" s="15" t="n">
        <v>80</v>
      </c>
      <c r="D10" s="15" t="n">
        <v>250885.1224038489</v>
      </c>
      <c r="E10" s="15" t="n">
        <v>9133871.426190665</v>
      </c>
      <c r="F10" s="15" t="n">
        <v>156.9152152060037</v>
      </c>
      <c r="G10" s="20" t="n">
        <v>11.75321460115481</v>
      </c>
    </row>
    <row r="11">
      <c r="B11" s="19" t="inlineStr">
        <is>
          <t>0+100.00</t>
        </is>
      </c>
      <c r="C11" s="18" t="n">
        <v>100</v>
      </c>
      <c r="D11" s="18" t="n">
        <v>250889.1963409517</v>
      </c>
      <c r="E11" s="18" t="n">
        <v>9133891.006870849</v>
      </c>
      <c r="F11" s="18" t="n">
        <v>156.6399604657358</v>
      </c>
      <c r="G11" s="21" t="n">
        <v>11.75379816831193</v>
      </c>
    </row>
    <row r="12">
      <c r="B12" s="16" t="inlineStr">
        <is>
          <t>0+120.00</t>
        </is>
      </c>
      <c r="C12" s="15" t="n">
        <v>120</v>
      </c>
      <c r="D12" s="15" t="n">
        <v>250893.2513620523</v>
      </c>
      <c r="E12" s="15" t="n">
        <v>9133910.590938106</v>
      </c>
      <c r="F12" s="15" t="n">
        <v>156.239942900377</v>
      </c>
      <c r="G12" s="20" t="n">
        <v>8.582658553096683</v>
      </c>
    </row>
    <row r="13">
      <c r="B13" s="19" t="inlineStr">
        <is>
          <t>0+140.00</t>
        </is>
      </c>
      <c r="C13" s="18" t="n">
        <v>140</v>
      </c>
      <c r="D13" s="18" t="n">
        <v>250896.223761336</v>
      </c>
      <c r="E13" s="18" t="n">
        <v>9133930.368618015</v>
      </c>
      <c r="F13" s="18" t="n">
        <v>155.9471816872057</v>
      </c>
      <c r="G13" s="21" t="n">
        <v>6.652765149557938</v>
      </c>
    </row>
    <row r="14">
      <c r="B14" s="16" t="inlineStr">
        <is>
          <t>0+160.00</t>
        </is>
      </c>
      <c r="C14" s="15" t="n">
        <v>160</v>
      </c>
      <c r="D14" s="15" t="n">
        <v>250898.540797691</v>
      </c>
      <c r="E14" s="15" t="n">
        <v>9133950.233948179</v>
      </c>
      <c r="F14" s="15" t="n">
        <v>155.4140096563927</v>
      </c>
      <c r="G14" s="20" t="n">
        <v>6.652433269860285</v>
      </c>
    </row>
    <row r="15">
      <c r="B15" s="19" t="inlineStr">
        <is>
          <t>0+180.00</t>
        </is>
      </c>
      <c r="C15" s="18" t="n">
        <v>180</v>
      </c>
      <c r="D15" s="18" t="n">
        <v>250900.8549389939</v>
      </c>
      <c r="E15" s="18" t="n">
        <v>9133970.099605298</v>
      </c>
      <c r="F15" s="18" t="n">
        <v>154.8186599809641</v>
      </c>
      <c r="G15" s="21" t="n">
        <v>6.217440572527138</v>
      </c>
    </row>
    <row r="16">
      <c r="B16" s="16" t="inlineStr">
        <is>
          <t>0+200.00</t>
        </is>
      </c>
      <c r="C16" s="15" t="n">
        <v>200</v>
      </c>
      <c r="D16" s="15" t="n">
        <v>250903.0191319043</v>
      </c>
      <c r="E16" s="15" t="n">
        <v>9133989.982162621</v>
      </c>
      <c r="F16" s="15" t="n">
        <v>154.2037413060796</v>
      </c>
      <c r="G16" s="20" t="n">
        <v>5.929232561264232</v>
      </c>
    </row>
    <row r="17">
      <c r="B17" s="19" t="inlineStr">
        <is>
          <t>0+220.00</t>
        </is>
      </c>
      <c r="C17" s="18" t="n">
        <v>220</v>
      </c>
      <c r="D17" s="18" t="n">
        <v>250905.085132408</v>
      </c>
      <c r="E17" s="18" t="n">
        <v>9134009.875167469</v>
      </c>
      <c r="F17" s="18" t="n">
        <v>153.5925414446302</v>
      </c>
      <c r="G17" s="21" t="n">
        <v>5.929232560795944</v>
      </c>
    </row>
    <row r="18">
      <c r="B18" s="16" t="inlineStr">
        <is>
          <t>0+240.00</t>
        </is>
      </c>
      <c r="C18" s="15" t="n">
        <v>240</v>
      </c>
      <c r="D18" s="15" t="n">
        <v>250907.1540693548</v>
      </c>
      <c r="E18" s="15" t="n">
        <v>9134029.767855473</v>
      </c>
      <c r="F18" s="15" t="n">
        <v>152.9196634432894</v>
      </c>
      <c r="G18" s="20" t="n">
        <v>6.387648206150747</v>
      </c>
    </row>
    <row r="19">
      <c r="B19" s="19" t="inlineStr">
        <is>
          <t>0+260.00</t>
        </is>
      </c>
      <c r="C19" s="18" t="n">
        <v>260</v>
      </c>
      <c r="D19" s="18" t="n">
        <v>250909.3803445793</v>
      </c>
      <c r="E19" s="18" t="n">
        <v>9134049.643559828</v>
      </c>
      <c r="F19" s="18" t="n">
        <v>152.3642652601193</v>
      </c>
      <c r="G19" s="21" t="n">
        <v>6.571765277455944</v>
      </c>
    </row>
    <row r="20">
      <c r="B20" s="16" t="inlineStr">
        <is>
          <t>0+280.00</t>
        </is>
      </c>
      <c r="C20" s="15" t="n">
        <v>280</v>
      </c>
      <c r="D20" s="15" t="n">
        <v>250911.6692989506</v>
      </c>
      <c r="E20" s="15" t="n">
        <v>9134069.512145281</v>
      </c>
      <c r="F20" s="15" t="n">
        <v>152.0555649855258</v>
      </c>
      <c r="G20" s="20" t="n">
        <v>6.57209315452677</v>
      </c>
    </row>
    <row r="21">
      <c r="B21" s="19" t="inlineStr">
        <is>
          <t>0+300.00</t>
        </is>
      </c>
      <c r="C21" s="18" t="n">
        <v>300</v>
      </c>
      <c r="D21" s="18" t="n">
        <v>250913.9361066819</v>
      </c>
      <c r="E21" s="18" t="n">
        <v>9134089.382603766</v>
      </c>
      <c r="F21" s="18" t="n">
        <v>151.8162045397883</v>
      </c>
      <c r="G21" s="21" t="n">
        <v>3.113857815462628</v>
      </c>
    </row>
    <row r="22">
      <c r="B22" s="16" t="inlineStr">
        <is>
          <t>0+320.00</t>
        </is>
      </c>
      <c r="C22" s="15" t="n">
        <v>320</v>
      </c>
      <c r="D22" s="15" t="n">
        <v>250915.0177281168</v>
      </c>
      <c r="E22" s="15" t="n">
        <v>9134109.353304872</v>
      </c>
      <c r="F22" s="15" t="n">
        <v>151.6164160969512</v>
      </c>
      <c r="G22" s="20" t="n">
        <v>2.38701737573923</v>
      </c>
    </row>
    <row r="23">
      <c r="B23" s="19" t="inlineStr">
        <is>
          <t>0+340.00</t>
        </is>
      </c>
      <c r="C23" s="18" t="n">
        <v>340</v>
      </c>
      <c r="D23" s="18" t="n">
        <v>250915.8506953075</v>
      </c>
      <c r="E23" s="18" t="n">
        <v>9134129.335951485</v>
      </c>
      <c r="F23" s="18" t="n">
        <v>151.6934899421688</v>
      </c>
      <c r="G23" s="21" t="n">
        <v>2.384274295048018</v>
      </c>
    </row>
    <row r="24">
      <c r="B24" s="16" t="inlineStr">
        <is>
          <t>0+360.00</t>
        </is>
      </c>
      <c r="C24" s="15" t="n">
        <v>360</v>
      </c>
      <c r="D24" s="15" t="n">
        <v>250916.6738036178</v>
      </c>
      <c r="E24" s="15" t="n">
        <v>9134149.318903171</v>
      </c>
      <c r="F24" s="15" t="n">
        <v>151.8810476602727</v>
      </c>
      <c r="G24" s="20" t="n">
        <v>1.03141890910164</v>
      </c>
    </row>
    <row r="25">
      <c r="B25" s="19" t="inlineStr">
        <is>
          <t>0+380.00</t>
        </is>
      </c>
      <c r="C25" s="18" t="n">
        <v>380</v>
      </c>
      <c r="D25" s="18" t="n">
        <v>250917.0322642818</v>
      </c>
      <c r="E25" s="18" t="n">
        <v>9134169.315687437</v>
      </c>
      <c r="F25" s="18" t="n">
        <v>152.2020632269991</v>
      </c>
      <c r="G25" s="21" t="n">
        <v>0.7964396833309292</v>
      </c>
    </row>
    <row r="26">
      <c r="B26" s="16" t="inlineStr">
        <is>
          <t>0+400.00</t>
        </is>
      </c>
      <c r="C26" s="15" t="n">
        <v>400</v>
      </c>
      <c r="D26" s="15" t="n">
        <v>250917.3102841602</v>
      </c>
      <c r="E26" s="15" t="n">
        <v>9134189.313754966</v>
      </c>
      <c r="F26" s="15" t="n">
        <v>152.5801592503309</v>
      </c>
      <c r="G26" s="20" t="n">
        <v>0.7993042033086387</v>
      </c>
    </row>
    <row r="27">
      <c r="B27" s="19" t="inlineStr">
        <is>
          <t>0+420.00</t>
        </is>
      </c>
      <c r="C27" s="18" t="n">
        <v>420</v>
      </c>
      <c r="D27" s="18" t="n">
        <v>250917.6062998965</v>
      </c>
      <c r="E27" s="18" t="n">
        <v>9134209.311188815</v>
      </c>
      <c r="F27" s="18" t="n">
        <v>153.2240203257614</v>
      </c>
      <c r="G27" s="21" t="n">
        <v>3.374537269504062</v>
      </c>
    </row>
    <row r="28">
      <c r="B28" s="16" t="inlineStr">
        <is>
          <t>0+440.00</t>
        </is>
      </c>
      <c r="C28" s="15" t="n">
        <v>440</v>
      </c>
      <c r="D28" s="15" t="n">
        <v>250918.7878997631</v>
      </c>
      <c r="E28" s="15" t="n">
        <v>9134229.27622954</v>
      </c>
      <c r="F28" s="15" t="n">
        <v>153.9608825252666</v>
      </c>
      <c r="G28" s="20" t="n">
        <v>4.025607114730433</v>
      </c>
    </row>
    <row r="29">
      <c r="B29" s="19" t="inlineStr">
        <is>
          <t>0+460.00</t>
        </is>
      </c>
      <c r="C29" s="18" t="n">
        <v>460</v>
      </c>
      <c r="D29" s="18" t="n">
        <v>250920.1919636464</v>
      </c>
      <c r="E29" s="18" t="n">
        <v>9134249.22688378</v>
      </c>
      <c r="F29" s="18" t="n">
        <v>154.5199191207424</v>
      </c>
      <c r="G29" s="21" t="n">
        <v>4.028263666598765</v>
      </c>
    </row>
    <row r="30">
      <c r="B30" s="16" t="inlineStr">
        <is>
          <t>0+480.00</t>
        </is>
      </c>
      <c r="C30" s="15" t="n">
        <v>480</v>
      </c>
      <c r="D30" s="15" t="n">
        <v>250921.5778244708</v>
      </c>
      <c r="E30" s="15" t="n">
        <v>9134269.17834154</v>
      </c>
      <c r="F30" s="15" t="n">
        <v>154.6126686203513</v>
      </c>
      <c r="G30" s="20" t="n">
        <v>1.169314746584157</v>
      </c>
    </row>
    <row r="31">
      <c r="B31" s="19" t="inlineStr">
        <is>
          <t>0+500.00</t>
        </is>
      </c>
      <c r="C31" s="18" t="n">
        <v>500</v>
      </c>
      <c r="D31" s="18" t="n">
        <v>250921.9808683183</v>
      </c>
      <c r="E31" s="18" t="n">
        <v>9134289.174247386</v>
      </c>
      <c r="F31" s="18" t="n">
        <v>154.3304389390302</v>
      </c>
      <c r="G31" s="21" t="n">
        <v>0.4211163962688867</v>
      </c>
    </row>
    <row r="32">
      <c r="B32" s="16" t="inlineStr">
        <is>
          <t>0+520.00</t>
        </is>
      </c>
      <c r="C32" s="15" t="n">
        <v>520</v>
      </c>
      <c r="D32" s="15" t="n">
        <v>250922.127864491</v>
      </c>
      <c r="E32" s="15" t="n">
        <v>9134309.173707182</v>
      </c>
      <c r="F32" s="15" t="n">
        <v>153.8386394676076</v>
      </c>
      <c r="G32" s="20" t="n">
        <v>0.4211374523866107</v>
      </c>
    </row>
    <row r="33">
      <c r="B33" s="19" t="inlineStr">
        <is>
          <t>0+540.00</t>
        </is>
      </c>
      <c r="C33" s="18" t="n">
        <v>540</v>
      </c>
      <c r="D33" s="18" t="n">
        <v>250922.2760383224</v>
      </c>
      <c r="E33" s="18" t="n">
        <v>9134329.173156567</v>
      </c>
      <c r="F33" s="18" t="n">
        <v>153.2493055149898</v>
      </c>
      <c r="G33" s="21" t="n">
        <v>0.5930197932321171</v>
      </c>
    </row>
    <row r="34">
      <c r="B34" s="16" t="inlineStr">
        <is>
          <t>0+560.00</t>
        </is>
      </c>
      <c r="C34" s="15" t="n">
        <v>560</v>
      </c>
      <c r="D34" s="15" t="n">
        <v>250922.4830180818</v>
      </c>
      <c r="E34" s="15" t="n">
        <v>9134349.172085522</v>
      </c>
      <c r="F34" s="15" t="n">
        <v>152.3428353788062</v>
      </c>
      <c r="G34" s="20" t="n">
        <v>0.5901551664569775</v>
      </c>
    </row>
    <row r="35">
      <c r="B35" s="19" t="inlineStr">
        <is>
          <t>0+580.00</t>
        </is>
      </c>
      <c r="C35" s="18" t="n">
        <v>580</v>
      </c>
      <c r="D35" s="18" t="n">
        <v>250922.6890174542</v>
      </c>
      <c r="E35" s="18" t="n">
        <v>9134369.1710246</v>
      </c>
      <c r="F35" s="18" t="n">
        <v>151.4673820732817</v>
      </c>
      <c r="G35" s="21" t="n">
        <v>0.5901551664569775</v>
      </c>
    </row>
    <row r="36">
      <c r="B36" s="16" t="inlineStr">
        <is>
          <t>0+600.00</t>
        </is>
      </c>
      <c r="C36" s="15" t="n">
        <v>600</v>
      </c>
      <c r="D36" s="15" t="n">
        <v>250922.9025436737</v>
      </c>
      <c r="E36" s="15" t="n">
        <v>9134389.16981348</v>
      </c>
      <c r="F36" s="15" t="n">
        <v>150.8205398522424</v>
      </c>
      <c r="G36" s="20" t="n">
        <v>1.696222879138167</v>
      </c>
    </row>
    <row r="37">
      <c r="B37" s="19" t="inlineStr">
        <is>
          <t>0+620.00</t>
        </is>
      </c>
      <c r="C37" s="18" t="n">
        <v>620</v>
      </c>
      <c r="D37" s="18" t="n">
        <v>250923.494667634</v>
      </c>
      <c r="E37" s="18" t="n">
        <v>9134409.16104627</v>
      </c>
      <c r="F37" s="18" t="n">
        <v>150.1818250776184</v>
      </c>
      <c r="G37" s="21" t="n">
        <v>1.713404131081535</v>
      </c>
    </row>
    <row r="38">
      <c r="B38" s="16" t="inlineStr">
        <is>
          <t>0+640.00</t>
        </is>
      </c>
      <c r="C38" s="15" t="n">
        <v>640</v>
      </c>
      <c r="D38" s="15" t="n">
        <v>250924.0926498678</v>
      </c>
      <c r="E38" s="15" t="n">
        <v>9134429.152104704</v>
      </c>
      <c r="F38" s="15" t="n">
        <v>149.5568280388944</v>
      </c>
      <c r="G38" s="20" t="n">
        <v>1.710540610440439</v>
      </c>
    </row>
    <row r="39">
      <c r="B39" s="19" t="inlineStr">
        <is>
          <t>0+660.00</t>
        </is>
      </c>
      <c r="C39" s="18" t="n">
        <v>660</v>
      </c>
      <c r="D39" s="18" t="n">
        <v>250924.7133826042</v>
      </c>
      <c r="E39" s="18" t="n">
        <v>9134449.14175953</v>
      </c>
      <c r="F39" s="18" t="n">
        <v>148.8748873717959</v>
      </c>
      <c r="G39" s="21" t="n">
        <v>5.200396920695765</v>
      </c>
    </row>
    <row r="40">
      <c r="B40" s="16" t="inlineStr">
        <is>
          <t>0+680.00</t>
        </is>
      </c>
      <c r="C40" s="15" t="n">
        <v>680</v>
      </c>
      <c r="D40" s="15" t="n">
        <v>250926.5321626941</v>
      </c>
      <c r="E40" s="15" t="n">
        <v>9134469.058844138</v>
      </c>
      <c r="F40" s="15" t="n">
        <v>147.848438222368</v>
      </c>
      <c r="G40" s="20" t="n">
        <v>6.064637569022357</v>
      </c>
    </row>
    <row r="41">
      <c r="B41" s="19" t="inlineStr">
        <is>
          <t>0+700.00</t>
        </is>
      </c>
      <c r="C41" s="18" t="n">
        <v>700</v>
      </c>
      <c r="D41" s="18" t="n">
        <v>250928.6451895256</v>
      </c>
      <c r="E41" s="18" t="n">
        <v>9134488.946908839</v>
      </c>
      <c r="F41" s="18" t="n">
        <v>147.0205310283612</v>
      </c>
      <c r="G41" s="21" t="n">
        <v>6.067486319798829</v>
      </c>
    </row>
    <row r="42">
      <c r="B42" s="16" t="inlineStr">
        <is>
          <t>0+720.00</t>
        </is>
      </c>
      <c r="C42" s="15" t="n">
        <v>720</v>
      </c>
      <c r="D42" s="15" t="n">
        <v>250930.8892797143</v>
      </c>
      <c r="E42" s="15" t="n">
        <v>9134508.798007708</v>
      </c>
      <c r="F42" s="15" t="n">
        <v>146.2952198623328</v>
      </c>
      <c r="G42" s="20" t="n">
        <v>25.57319002654518</v>
      </c>
    </row>
    <row r="43">
      <c r="B43" s="19" t="inlineStr">
        <is>
          <t>0+740.00</t>
        </is>
      </c>
      <c r="C43" s="18" t="n">
        <v>740</v>
      </c>
      <c r="D43" s="18" t="n">
        <v>250939.5736993368</v>
      </c>
      <c r="E43" s="18" t="n">
        <v>9134526.811517868</v>
      </c>
      <c r="F43" s="18" t="n">
        <v>145.5508017747204</v>
      </c>
      <c r="G43" s="21" t="n">
        <v>30.40511937993037</v>
      </c>
    </row>
    <row r="44">
      <c r="B44" s="16" t="inlineStr">
        <is>
          <t>0+760.00</t>
        </is>
      </c>
      <c r="C44" s="15" t="n">
        <v>760</v>
      </c>
      <c r="D44" s="15" t="n">
        <v>250949.6959414583</v>
      </c>
      <c r="E44" s="15" t="n">
        <v>9134544.060871897</v>
      </c>
      <c r="F44" s="15" t="n">
        <v>144.6904729154417</v>
      </c>
      <c r="G44" s="20" t="n">
        <v>30.40759016034985</v>
      </c>
    </row>
    <row r="45">
      <c r="B45" s="19" t="inlineStr">
        <is>
          <t>0+780.00</t>
        </is>
      </c>
      <c r="C45" s="18" t="n">
        <v>780</v>
      </c>
      <c r="D45" s="18" t="n">
        <v>250959.8106144558</v>
      </c>
      <c r="E45" s="18" t="n">
        <v>9134561.314590821</v>
      </c>
      <c r="F45" s="18" t="n">
        <v>143.5495790694934</v>
      </c>
      <c r="G45" s="21" t="n">
        <v>29.60982962160001</v>
      </c>
    </row>
    <row r="46">
      <c r="B46" s="16" t="inlineStr">
        <is>
          <t>0+800.00</t>
        </is>
      </c>
      <c r="C46" s="15" t="n">
        <v>800</v>
      </c>
      <c r="D46" s="15" t="n">
        <v>250969.6765147129</v>
      </c>
      <c r="E46" s="15" t="n">
        <v>9134578.711566985</v>
      </c>
      <c r="F46" s="15" t="n">
        <v>142.6508770525084</v>
      </c>
      <c r="G46" s="20" t="n">
        <v>28.10265165200773</v>
      </c>
    </row>
    <row r="47">
      <c r="B47" s="19" t="inlineStr">
        <is>
          <t>0+820.00</t>
        </is>
      </c>
      <c r="C47" s="18" t="n">
        <v>820</v>
      </c>
      <c r="D47" s="18" t="n">
        <v>250979.0975688248</v>
      </c>
      <c r="E47" s="18" t="n">
        <v>9134596.353668317</v>
      </c>
      <c r="F47" s="18" t="n">
        <v>141.3793644043982</v>
      </c>
      <c r="G47" s="21" t="n">
        <v>28.10265165452132</v>
      </c>
    </row>
    <row r="48">
      <c r="B48" s="16" t="inlineStr">
        <is>
          <t>0+840.00</t>
        </is>
      </c>
      <c r="C48" s="15" t="n">
        <v>840</v>
      </c>
      <c r="D48" s="15" t="n">
        <v>250988.5186498308</v>
      </c>
      <c r="E48" s="15" t="n">
        <v>9134613.995755287</v>
      </c>
      <c r="F48" s="15" t="n">
        <v>140.2657483567922</v>
      </c>
      <c r="G48" s="20" t="n">
        <v>28.10517865184612</v>
      </c>
    </row>
    <row r="49">
      <c r="B49" s="19" t="inlineStr">
        <is>
          <t>0+860.00</t>
        </is>
      </c>
      <c r="C49" s="18" t="n">
        <v>860</v>
      </c>
      <c r="D49" s="18" t="n">
        <v>250997.9691281473</v>
      </c>
      <c r="E49" s="18" t="n">
        <v>9134631.621253951</v>
      </c>
      <c r="F49" s="18" t="n">
        <v>139.269151479655</v>
      </c>
      <c r="G49" s="21" t="n">
        <v>30.83403567390555</v>
      </c>
    </row>
    <row r="50">
      <c r="B50" s="16" t="inlineStr">
        <is>
          <t>0+880.00</t>
        </is>
      </c>
      <c r="C50" s="15" t="n">
        <v>880</v>
      </c>
      <c r="D50" s="15" t="n">
        <v>251008.3224379728</v>
      </c>
      <c r="E50" s="15" t="n">
        <v>9134648.721381102</v>
      </c>
      <c r="F50" s="15" t="n">
        <v>138.1195466500828</v>
      </c>
      <c r="G50" s="20" t="n">
        <v>40.20355394027269</v>
      </c>
    </row>
    <row r="51">
      <c r="B51" s="19" t="inlineStr">
        <is>
          <t>0+900.00</t>
        </is>
      </c>
      <c r="C51" s="18" t="n">
        <v>900</v>
      </c>
      <c r="D51" s="18" t="n">
        <v>251021.2325392367</v>
      </c>
      <c r="E51" s="18" t="n">
        <v>9134663.996500917</v>
      </c>
      <c r="F51" s="18" t="n">
        <v>137.0874999679984</v>
      </c>
      <c r="G51" s="21" t="n">
        <v>40.20355394027269</v>
      </c>
    </row>
    <row r="52">
      <c r="B52" s="16" t="inlineStr">
        <is>
          <t>0+920.00</t>
        </is>
      </c>
      <c r="C52" s="15" t="n">
        <v>920</v>
      </c>
      <c r="D52" s="15" t="n">
        <v>251034.0772512812</v>
      </c>
      <c r="E52" s="15" t="n">
        <v>9134679.321159512</v>
      </c>
      <c r="F52" s="15" t="n">
        <v>136.5627805025132</v>
      </c>
      <c r="G52" s="20" t="n">
        <v>34.0914815579011</v>
      </c>
    </row>
    <row r="53">
      <c r="B53" s="19" t="inlineStr">
        <is>
          <t>0+940.00</t>
        </is>
      </c>
      <c r="C53" s="18" t="n">
        <v>940</v>
      </c>
      <c r="D53" s="18" t="n">
        <v>251045.1603626894</v>
      </c>
      <c r="E53" s="18" t="n">
        <v>9134695.95632025</v>
      </c>
      <c r="F53" s="18" t="n">
        <v>136.2419848521654</v>
      </c>
      <c r="G53" s="21" t="n">
        <v>25.1248862640832</v>
      </c>
    </row>
    <row r="54">
      <c r="B54" s="16" t="inlineStr">
        <is>
          <t>0+960.00</t>
        </is>
      </c>
      <c r="C54" s="15" t="n">
        <v>960</v>
      </c>
      <c r="D54" s="15" t="n">
        <v>251053.5048335002</v>
      </c>
      <c r="E54" s="15" t="n">
        <v>9134714.11854849</v>
      </c>
      <c r="F54" s="15" t="n">
        <v>135.8512130622977</v>
      </c>
      <c r="G54" s="20" t="n">
        <v>15.48890337425728</v>
      </c>
    </row>
    <row r="55">
      <c r="B55" s="19" t="inlineStr">
        <is>
          <t>0+980.00</t>
        </is>
      </c>
      <c r="C55" s="18" t="n">
        <v>980</v>
      </c>
      <c r="D55" s="18" t="n">
        <v>251058.7596092751</v>
      </c>
      <c r="E55" s="18" t="n">
        <v>9134733.412306838</v>
      </c>
      <c r="F55" s="18" t="n">
        <v>135.3501270597592</v>
      </c>
      <c r="G55" s="21" t="n">
        <v>10.76325827199376</v>
      </c>
    </row>
    <row r="56">
      <c r="B56" s="16" t="inlineStr">
        <is>
          <t>1+000.00</t>
        </is>
      </c>
      <c r="C56" s="15" t="n">
        <v>1000</v>
      </c>
      <c r="D56" s="15" t="n">
        <v>251062.4945848404</v>
      </c>
      <c r="E56" s="15" t="n">
        <v>9134753.060460886</v>
      </c>
      <c r="F56" s="15" t="n">
        <v>134.9895248945149</v>
      </c>
      <c r="G56" s="20" t="n">
        <v>10.76044383574781</v>
      </c>
    </row>
    <row r="57">
      <c r="B57" s="19" t="inlineStr">
        <is>
          <t>1+020.00</t>
        </is>
      </c>
      <c r="C57" s="18" t="n">
        <v>1020</v>
      </c>
      <c r="D57" s="18" t="n">
        <v>251066.2286989678</v>
      </c>
      <c r="E57" s="18" t="n">
        <v>9134772.708778666</v>
      </c>
      <c r="F57" s="18" t="n">
        <v>134.7915663341531</v>
      </c>
      <c r="G57" s="21" t="n">
        <v>10.76325827207568</v>
      </c>
    </row>
    <row r="58">
      <c r="B58" s="16" t="inlineStr">
        <is>
          <t>1+040.00</t>
        </is>
      </c>
      <c r="C58" s="15" t="n">
        <v>1040</v>
      </c>
      <c r="D58" s="15" t="n">
        <v>251069.7986301664</v>
      </c>
      <c r="E58" s="15" t="n">
        <v>9134792.375241434</v>
      </c>
      <c r="F58" s="15" t="n">
        <v>134.5439497970955</v>
      </c>
      <c r="G58" s="20" t="n">
        <v>1.899675426615526</v>
      </c>
    </row>
    <row r="59">
      <c r="B59" s="19" t="inlineStr">
        <is>
          <t>1+060.00</t>
        </is>
      </c>
      <c r="C59" s="18" t="n">
        <v>1060</v>
      </c>
      <c r="D59" s="18" t="n">
        <v>251070.1567885234</v>
      </c>
      <c r="E59" s="18" t="n">
        <v>9134812.332966579</v>
      </c>
      <c r="F59" s="18" t="n">
        <v>134.3390675752482</v>
      </c>
      <c r="G59" s="21" t="n">
        <v>346.3815602090976</v>
      </c>
    </row>
    <row r="60">
      <c r="B60" s="16" t="inlineStr">
        <is>
          <t>1+080.00</t>
        </is>
      </c>
      <c r="C60" s="15" t="n">
        <v>1080</v>
      </c>
      <c r="D60" s="15" t="n">
        <v>251065.2866768969</v>
      </c>
      <c r="E60" s="15" t="n">
        <v>9134831.721326081</v>
      </c>
      <c r="F60" s="15" t="n">
        <v>134.1317738175904</v>
      </c>
      <c r="G60" s="20" t="n">
        <v>339.540853071658</v>
      </c>
    </row>
    <row r="61">
      <c r="B61" s="19" t="inlineStr">
        <is>
          <t>1+100.00</t>
        </is>
      </c>
      <c r="C61" s="18" t="n">
        <v>1100</v>
      </c>
      <c r="D61" s="18" t="n">
        <v>251058.295927203</v>
      </c>
      <c r="E61" s="18" t="n">
        <v>9134850.459773688</v>
      </c>
      <c r="F61" s="18" t="n">
        <v>133.7395434748031</v>
      </c>
      <c r="G61" s="21" t="n">
        <v>339.5425358550153</v>
      </c>
    </row>
    <row r="62">
      <c r="B62" s="16" t="inlineStr">
        <is>
          <t>1+120.00</t>
        </is>
      </c>
      <c r="C62" s="15" t="n">
        <v>1120</v>
      </c>
      <c r="D62" s="15" t="n">
        <v>251051.206316462</v>
      </c>
      <c r="E62" s="15" t="n">
        <v>9134869.156958917</v>
      </c>
      <c r="F62" s="15" t="n">
        <v>133.4361121979444</v>
      </c>
      <c r="G62" s="20" t="n">
        <v>335.1706145900494</v>
      </c>
    </row>
    <row r="63">
      <c r="B63" s="19" t="inlineStr">
        <is>
          <t>1+140.00</t>
        </is>
      </c>
      <c r="C63" s="18" t="n">
        <v>1140</v>
      </c>
      <c r="D63" s="18" t="n">
        <v>251042.7946403857</v>
      </c>
      <c r="E63" s="18" t="n">
        <v>9134887.301954661</v>
      </c>
      <c r="F63" s="18" t="n">
        <v>132.9435137960173</v>
      </c>
      <c r="G63" s="21" t="n">
        <v>334.5765614483142</v>
      </c>
    </row>
    <row r="64">
      <c r="B64" s="16" t="inlineStr">
        <is>
          <t>1+160.00</t>
        </is>
      </c>
      <c r="C64" s="15" t="n">
        <v>1160</v>
      </c>
      <c r="D64" s="15" t="n">
        <v>251034.1344467346</v>
      </c>
      <c r="E64" s="15" t="n">
        <v>9134905.32722454</v>
      </c>
      <c r="F64" s="15" t="n">
        <v>132.2640109808514</v>
      </c>
      <c r="G64" s="20" t="n">
        <v>331.2164445905937</v>
      </c>
    </row>
    <row r="65">
      <c r="B65" s="19" t="inlineStr">
        <is>
          <t>1+180.00</t>
        </is>
      </c>
      <c r="C65" s="18" t="n">
        <v>1180</v>
      </c>
      <c r="D65" s="18" t="n">
        <v>251024.4988666315</v>
      </c>
      <c r="E65" s="18" t="n">
        <v>9134922.853064697</v>
      </c>
      <c r="F65" s="18" t="n">
        <v>131.2600009575805</v>
      </c>
      <c r="G65" s="21" t="n">
        <v>330.961534461325</v>
      </c>
    </row>
    <row r="66">
      <c r="B66" s="16" t="inlineStr">
        <is>
          <t>1+200.00</t>
        </is>
      </c>
      <c r="C66" s="15" t="n">
        <v>1200</v>
      </c>
      <c r="D66" s="15" t="n">
        <v>251014.7909328884</v>
      </c>
      <c r="E66" s="15" t="n">
        <v>9134940.338945357</v>
      </c>
      <c r="F66" s="15" t="n">
        <v>130.1819064056492</v>
      </c>
      <c r="G66" s="20" t="n">
        <v>330.9615344587348</v>
      </c>
    </row>
    <row r="67">
      <c r="B67" s="19" t="inlineStr">
        <is>
          <t>1+220.00</t>
        </is>
      </c>
      <c r="C67" s="18" t="n">
        <v>1220</v>
      </c>
      <c r="D67" s="18" t="n">
        <v>251005.083053476</v>
      </c>
      <c r="E67" s="18" t="n">
        <v>9134957.824856179</v>
      </c>
      <c r="F67" s="18" t="n">
        <v>128.8390868269267</v>
      </c>
      <c r="G67" s="21" t="n">
        <v>330.9640391703808</v>
      </c>
    </row>
    <row r="68">
      <c r="B68" s="16" t="inlineStr">
        <is>
          <t>1+240.00</t>
        </is>
      </c>
      <c r="C68" s="15" t="n">
        <v>1240</v>
      </c>
      <c r="D68" s="15" t="n">
        <v>250995.3758298002</v>
      </c>
      <c r="E68" s="15" t="n">
        <v>9134975.311131038</v>
      </c>
      <c r="F68" s="15" t="n">
        <v>128.0147761053459</v>
      </c>
      <c r="G68" s="20" t="n">
        <v>330.9615344588077</v>
      </c>
    </row>
    <row r="69">
      <c r="B69" s="19" t="inlineStr">
        <is>
          <t>1+260.00</t>
        </is>
      </c>
      <c r="C69" s="18" t="n">
        <v>1260</v>
      </c>
      <c r="D69" s="18" t="n">
        <v>250985.6678960565</v>
      </c>
      <c r="E69" s="18" t="n">
        <v>9134992.797011696</v>
      </c>
      <c r="F69" s="18" t="n">
        <v>127.6206933452933</v>
      </c>
      <c r="G69" s="21" t="n">
        <v>330.9615344587348</v>
      </c>
    </row>
    <row r="70">
      <c r="B70" s="16" t="inlineStr">
        <is>
          <t>1+280.00</t>
        </is>
      </c>
      <c r="C70" s="15" t="n">
        <v>1280</v>
      </c>
      <c r="D70" s="15" t="n">
        <v>250975.9599321471</v>
      </c>
      <c r="E70" s="15" t="n">
        <v>9135010.282875609</v>
      </c>
      <c r="F70" s="15" t="n">
        <v>127.2679644587549</v>
      </c>
      <c r="G70" s="20" t="n">
        <v>330.9601438507929</v>
      </c>
    </row>
    <row r="71">
      <c r="B71" s="19" t="inlineStr">
        <is>
          <t>1+300.00</t>
        </is>
      </c>
      <c r="C71" s="18" t="n">
        <v>1300</v>
      </c>
      <c r="D71" s="18" t="n">
        <v>250966.2516041931</v>
      </c>
      <c r="E71" s="18" t="n">
        <v>9135027.7685374</v>
      </c>
      <c r="F71" s="18" t="n">
        <v>126.957953986389</v>
      </c>
      <c r="G71" s="21" t="n">
        <v>330.9615344587348</v>
      </c>
    </row>
    <row r="72">
      <c r="B72" s="16" t="inlineStr">
        <is>
          <t>1+320.00</t>
        </is>
      </c>
      <c r="C72" s="15" t="n">
        <v>1320</v>
      </c>
      <c r="D72" s="15" t="n">
        <v>250956.532724328</v>
      </c>
      <c r="E72" s="15" t="n">
        <v>9135045.248277573</v>
      </c>
      <c r="F72" s="15" t="n">
        <v>126.6638129009771</v>
      </c>
      <c r="G72" s="20" t="n">
        <v>330.4559000894147</v>
      </c>
    </row>
    <row r="73">
      <c r="B73" s="19" t="inlineStr">
        <is>
          <t>1+340.00</t>
        </is>
      </c>
      <c r="C73" s="18" t="n">
        <v>1340</v>
      </c>
      <c r="D73" s="18" t="n">
        <v>250946.6435044503</v>
      </c>
      <c r="E73" s="18" t="n">
        <v>9135062.63189826</v>
      </c>
      <c r="F73" s="18" t="n">
        <v>126.5731034665809</v>
      </c>
      <c r="G73" s="21" t="n">
        <v>329.1826540159664</v>
      </c>
    </row>
    <row r="74">
      <c r="B74" s="16" t="inlineStr">
        <is>
          <t>1+360.00</t>
        </is>
      </c>
      <c r="C74" s="15" t="n">
        <v>1360</v>
      </c>
      <c r="D74" s="15" t="n">
        <v>250936.3974467139</v>
      </c>
      <c r="E74" s="15" t="n">
        <v>9135079.807995047</v>
      </c>
      <c r="F74" s="15" t="n">
        <v>126.4408670364447</v>
      </c>
      <c r="G74" s="20" t="n">
        <v>329.1826540131611</v>
      </c>
    </row>
    <row r="75">
      <c r="B75" s="19" t="inlineStr">
        <is>
          <t>1+380.00</t>
        </is>
      </c>
      <c r="C75" s="18" t="n">
        <v>1380</v>
      </c>
      <c r="D75" s="18" t="n">
        <v>250926.1513889768</v>
      </c>
      <c r="E75" s="18" t="n">
        <v>9135096.984091835</v>
      </c>
      <c r="F75" s="18" t="n">
        <v>126.3841915238008</v>
      </c>
      <c r="G75" s="21" t="n">
        <v>329.1826540159664</v>
      </c>
    </row>
    <row r="76">
      <c r="B76" s="16" t="inlineStr">
        <is>
          <t>1+400.00</t>
        </is>
      </c>
      <c r="C76" s="15" t="n">
        <v>1400</v>
      </c>
      <c r="D76" s="15" t="n">
        <v>250915.9052787182</v>
      </c>
      <c r="E76" s="15" t="n">
        <v>9135114.160157289</v>
      </c>
      <c r="F76" s="15" t="n">
        <v>126.1833409872289</v>
      </c>
      <c r="G76" s="20" t="n">
        <v>329.1801937677088</v>
      </c>
    </row>
    <row r="77">
      <c r="B77" s="19" t="inlineStr">
        <is>
          <t>1+420.00</t>
        </is>
      </c>
      <c r="C77" s="18" t="n">
        <v>1420</v>
      </c>
      <c r="D77" s="18" t="n">
        <v>250905.6585359671</v>
      </c>
      <c r="E77" s="18" t="n">
        <v>9135131.335845426</v>
      </c>
      <c r="F77" s="18" t="n">
        <v>126.2641776159633</v>
      </c>
      <c r="G77" s="21" t="n">
        <v>329.1826540158949</v>
      </c>
    </row>
    <row r="78">
      <c r="B78" s="16" t="inlineStr">
        <is>
          <t>1+440.00</t>
        </is>
      </c>
      <c r="C78" s="15" t="n">
        <v>1440</v>
      </c>
      <c r="D78" s="15" t="n">
        <v>250895.4124782308</v>
      </c>
      <c r="E78" s="15" t="n">
        <v>9135148.511942213</v>
      </c>
      <c r="F78" s="15" t="n">
        <v>126.4169776628327</v>
      </c>
      <c r="G78" s="20" t="n">
        <v>329.1826540132327</v>
      </c>
    </row>
    <row r="79">
      <c r="B79" s="19" t="inlineStr">
        <is>
          <t>1+460.00</t>
        </is>
      </c>
      <c r="C79" s="18" t="n">
        <v>1460</v>
      </c>
      <c r="D79" s="18" t="n">
        <v>250885.1664518211</v>
      </c>
      <c r="E79" s="18" t="n">
        <v>9135165.688057687</v>
      </c>
      <c r="F79" s="18" t="n">
        <v>126.5124145995599</v>
      </c>
      <c r="G79" s="21" t="n">
        <v>329.1841216010487</v>
      </c>
    </row>
    <row r="80">
      <c r="B80" s="16" t="inlineStr">
        <is>
          <t>1+480.00</t>
        </is>
      </c>
      <c r="C80" s="15" t="n">
        <v>1480</v>
      </c>
      <c r="D80" s="15" t="n">
        <v>250874.920802729</v>
      </c>
      <c r="E80" s="15" t="n">
        <v>9135182.864398237</v>
      </c>
      <c r="F80" s="15" t="n">
        <v>126.5715657173494</v>
      </c>
      <c r="G80" s="20" t="n">
        <v>329.1826540132327</v>
      </c>
    </row>
    <row r="81">
      <c r="B81" s="19" t="inlineStr">
        <is>
          <t>1+500.00</t>
        </is>
      </c>
      <c r="C81" s="18" t="n">
        <v>1500</v>
      </c>
      <c r="D81" s="18" t="n">
        <v>250864.6747449919</v>
      </c>
      <c r="E81" s="18" t="n">
        <v>9135200.040495025</v>
      </c>
      <c r="F81" s="18" t="n">
        <v>126.5858078093205</v>
      </c>
      <c r="G81" s="21" t="n">
        <v>329.1826540158949</v>
      </c>
    </row>
    <row r="82">
      <c r="B82" s="16" t="inlineStr">
        <is>
          <t>1+520.00</t>
        </is>
      </c>
      <c r="C82" s="15" t="n">
        <v>1520</v>
      </c>
      <c r="D82" s="15" t="n">
        <v>250854.4747720272</v>
      </c>
      <c r="E82" s="15" t="n">
        <v>9135217.242930485</v>
      </c>
      <c r="F82" s="15" t="n">
        <v>126.49040719583</v>
      </c>
      <c r="G82" s="20" t="n">
        <v>331.319116198209</v>
      </c>
    </row>
    <row r="83">
      <c r="B83" s="19" t="inlineStr">
        <is>
          <t>1+540.00</t>
        </is>
      </c>
      <c r="C83" s="18" t="n">
        <v>1540</v>
      </c>
      <c r="D83" s="18" t="n">
        <v>250844.8810846166</v>
      </c>
      <c r="E83" s="18" t="n">
        <v>9135234.791741021</v>
      </c>
      <c r="F83" s="18" t="n">
        <v>126.2700761400956</v>
      </c>
      <c r="G83" s="21" t="n">
        <v>331.5447907605449</v>
      </c>
    </row>
    <row r="84">
      <c r="B84" s="16" t="inlineStr">
        <is>
          <t>1+560.00</t>
        </is>
      </c>
      <c r="C84" s="15" t="n">
        <v>1560</v>
      </c>
      <c r="D84" s="15" t="n">
        <v>250837.4328468654</v>
      </c>
      <c r="E84" s="15" t="n">
        <v>9135251.382185385</v>
      </c>
      <c r="F84" s="15" t="n">
        <v>125.8540110785522</v>
      </c>
      <c r="G84" s="20" t="n">
        <v>79.48544261479836</v>
      </c>
    </row>
    <row r="85">
      <c r="B85" s="19" t="inlineStr">
        <is>
          <t>1+580.00</t>
        </is>
      </c>
      <c r="C85" s="18" t="n">
        <v>1580</v>
      </c>
      <c r="D85" s="18" t="n">
        <v>250856.8710957659</v>
      </c>
      <c r="E85" s="18" t="n">
        <v>9135255.670158427</v>
      </c>
      <c r="F85" s="18" t="n">
        <v>125.5182591602671</v>
      </c>
      <c r="G85" s="21" t="n">
        <v>61.53040694459421</v>
      </c>
    </row>
    <row r="86">
      <c r="B86" s="16" t="inlineStr">
        <is>
          <t>1+600.00</t>
        </is>
      </c>
      <c r="C86" s="15" t="n">
        <v>1600</v>
      </c>
      <c r="D86" s="15" t="n">
        <v>250874.4955998539</v>
      </c>
      <c r="E86" s="15" t="n">
        <v>9135265.120241379</v>
      </c>
      <c r="F86" s="15" t="n">
        <v>125.4560798734527</v>
      </c>
      <c r="G86" s="20" t="n">
        <v>64.0140496623077</v>
      </c>
    </row>
    <row r="87">
      <c r="B87" s="19" t="inlineStr">
        <is>
          <t>1+620.00</t>
        </is>
      </c>
      <c r="C87" s="18" t="n">
        <v>1620</v>
      </c>
      <c r="D87" s="18" t="n">
        <v>250892.4736301243</v>
      </c>
      <c r="E87" s="18" t="n">
        <v>9135273.883256134</v>
      </c>
      <c r="F87" s="18" t="n">
        <v>125.6990143087769</v>
      </c>
      <c r="G87" s="21" t="n">
        <v>64.0140496623077</v>
      </c>
    </row>
    <row r="88">
      <c r="B88" s="16" t="inlineStr">
        <is>
          <t>1+640.00</t>
        </is>
      </c>
      <c r="C88" s="15" t="n">
        <v>1640</v>
      </c>
      <c r="D88" s="15" t="n">
        <v>250910.4394078297</v>
      </c>
      <c r="E88" s="15" t="n">
        <v>9135282.671007892</v>
      </c>
      <c r="F88" s="15" t="n">
        <v>125.8971110360827</v>
      </c>
      <c r="G88" s="20" t="n">
        <v>63.28630535190176</v>
      </c>
    </row>
    <row r="89">
      <c r="B89" s="19" t="inlineStr">
        <is>
          <t>1+660.00</t>
        </is>
      </c>
      <c r="C89" s="18" t="n">
        <v>1660</v>
      </c>
      <c r="D89" s="18" t="n">
        <v>250928.2815174906</v>
      </c>
      <c r="E89" s="18" t="n">
        <v>9135291.706401544</v>
      </c>
      <c r="F89" s="18" t="n">
        <v>125.5542168449474</v>
      </c>
      <c r="G89" s="21" t="n">
        <v>61.96020429892038</v>
      </c>
    </row>
    <row r="90">
      <c r="B90" s="16" t="inlineStr">
        <is>
          <t>1+680.00</t>
        </is>
      </c>
      <c r="C90" s="15" t="n">
        <v>1680</v>
      </c>
      <c r="D90" s="15" t="n">
        <v>250945.9550005312</v>
      </c>
      <c r="E90" s="15" t="n">
        <v>9135301.067539059</v>
      </c>
      <c r="F90" s="15" t="n">
        <v>125.4048615415763</v>
      </c>
      <c r="G90" s="20" t="n">
        <v>63.16324896032763</v>
      </c>
    </row>
    <row r="91">
      <c r="B91" s="19" t="inlineStr">
        <is>
          <t>1+700.00</t>
        </is>
      </c>
      <c r="C91" s="18" t="n">
        <v>1700</v>
      </c>
      <c r="D91" s="18" t="n">
        <v>250963.8289826832</v>
      </c>
      <c r="E91" s="18" t="n">
        <v>9135310.039012196</v>
      </c>
      <c r="F91" s="18" t="n">
        <v>125.202888244363</v>
      </c>
      <c r="G91" s="21" t="n">
        <v>64.84309463990346</v>
      </c>
    </row>
    <row r="92">
      <c r="B92" s="16" t="inlineStr">
        <is>
          <t>1+717.82</t>
        </is>
      </c>
      <c r="C92" s="15" t="n">
        <v>1717.817013745429</v>
      </c>
      <c r="D92" s="15" t="n">
        <v>250979.956</v>
      </c>
      <c r="E92" s="15" t="n">
        <v>9135317.613</v>
      </c>
      <c r="F92" s="15" t="n">
        <v>124.9</v>
      </c>
      <c r="G92" s="20" t="n">
        <v>64.84309463990346</v>
      </c>
    </row>
  </sheetData>
  <autoFilter ref="B6:G92"/>
  <mergeCells count="2">
    <mergeCell ref="B3:G3"/>
    <mergeCell ref="B2:G2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J17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4" customWidth="1" min="5" max="5"/>
    <col width="18" customWidth="1" min="6" max="6"/>
    <col width="18" customWidth="1" min="7" max="7"/>
    <col width="18" customWidth="1" min="8" max="8"/>
    <col width="22" customWidth="1" min="9" max="9"/>
    <col width="24" customWidth="1" min="10" max="10"/>
  </cols>
  <sheetData>
    <row r="2" ht="28" customHeight="1">
      <c r="B2" s="1" t="inlineStr">
        <is>
          <t>Seções transversais a cada 500 m</t>
        </is>
      </c>
    </row>
    <row r="3" ht="30" customHeight="1">
      <c r="B3" s="2" t="inlineStr">
        <is>
          <t>Para cada seção, medir 10 m à esquerda e 10 m à direita do eixo usando o PE3D. As colunas de cota PE3D e diferença foram deixadas abertas para preenchimento pelos alunos.</t>
        </is>
      </c>
    </row>
    <row r="5" ht="30" customHeight="1">
      <c r="B5" s="13" t="inlineStr">
        <is>
          <t>Estação (m)</t>
        </is>
      </c>
      <c r="C5" s="13" t="inlineStr">
        <is>
          <t>Estaca</t>
        </is>
      </c>
      <c r="D5" s="13" t="inlineStr">
        <is>
          <t>Offset (m)</t>
        </is>
      </c>
      <c r="E5" s="13" t="inlineStr">
        <is>
          <t>Lado</t>
        </is>
      </c>
      <c r="F5" s="13" t="inlineStr">
        <is>
          <t>X alvo PE3D (m)</t>
        </is>
      </c>
      <c r="G5" s="13" t="inlineStr">
        <is>
          <t>Y alvo PE3D (m)</t>
        </is>
      </c>
      <c r="H5" s="13" t="inlineStr">
        <is>
          <t>Cota eixo (m)</t>
        </is>
      </c>
      <c r="I5" s="13" t="inlineStr">
        <is>
          <t>Cota PE3D extraída (m)</t>
        </is>
      </c>
      <c r="J5" s="13" t="inlineStr">
        <is>
          <t>Diferença PE3D−eixo (m)</t>
        </is>
      </c>
    </row>
    <row r="6">
      <c r="B6" s="23" t="n">
        <v>0</v>
      </c>
      <c r="C6" s="16" t="inlineStr">
        <is>
          <t>0+00.00</t>
        </is>
      </c>
      <c r="D6" s="23" t="n">
        <v>-10</v>
      </c>
      <c r="E6" s="16" t="inlineStr">
        <is>
          <t>Esquerda</t>
        </is>
      </c>
      <c r="F6" s="15" t="n">
        <v>250836.5208143145</v>
      </c>
      <c r="G6" s="15" t="n">
        <v>9133808.166622113</v>
      </c>
      <c r="H6" s="15" t="n">
        <v>157.65</v>
      </c>
      <c r="I6" s="22" t="n"/>
      <c r="J6" s="22">
        <f>IF(I6="","",I6-H6)</f>
        <v/>
      </c>
    </row>
    <row r="7">
      <c r="B7" s="24" t="n">
        <v>0</v>
      </c>
      <c r="C7" s="19" t="inlineStr">
        <is>
          <t>0+00.00</t>
        </is>
      </c>
      <c r="D7" s="24" t="n">
        <v>0</v>
      </c>
      <c r="E7" s="19" t="inlineStr">
        <is>
          <t>Eixo</t>
        </is>
      </c>
      <c r="F7" s="18" t="n">
        <v>250844.876</v>
      </c>
      <c r="G7" s="18" t="n">
        <v>9133802.672</v>
      </c>
      <c r="H7" s="18" t="n">
        <v>157.65</v>
      </c>
      <c r="I7" s="22" t="n"/>
      <c r="J7" s="22">
        <f>IF(I7="","",I7-H7)</f>
        <v/>
      </c>
    </row>
    <row r="8">
      <c r="B8" s="23" t="n">
        <v>0</v>
      </c>
      <c r="C8" s="16" t="inlineStr">
        <is>
          <t>0+00.00</t>
        </is>
      </c>
      <c r="D8" s="23" t="n">
        <v>10</v>
      </c>
      <c r="E8" s="16" t="inlineStr">
        <is>
          <t>Direita</t>
        </is>
      </c>
      <c r="F8" s="15" t="n">
        <v>250853.2311856855</v>
      </c>
      <c r="G8" s="15" t="n">
        <v>9133797.177377887</v>
      </c>
      <c r="H8" s="15" t="n">
        <v>157.65</v>
      </c>
      <c r="I8" s="22" t="n"/>
      <c r="J8" s="22">
        <f>IF(I8="","",I8-H8)</f>
        <v/>
      </c>
    </row>
    <row r="9">
      <c r="B9" s="24" t="n">
        <v>500</v>
      </c>
      <c r="C9" s="19" t="inlineStr">
        <is>
          <t>25+00.00</t>
        </is>
      </c>
      <c r="D9" s="24" t="n">
        <v>-10</v>
      </c>
      <c r="E9" s="19" t="inlineStr">
        <is>
          <t>Esquerda</t>
        </is>
      </c>
      <c r="F9" s="18" t="n">
        <v>250911.9811384199</v>
      </c>
      <c r="G9" s="18" t="n">
        <v>9134289.2477454</v>
      </c>
      <c r="H9" s="18" t="n">
        <v>154.3304389390302</v>
      </c>
      <c r="I9" s="22" t="n"/>
      <c r="J9" s="22">
        <f>IF(I9="","",I9-H9)</f>
        <v/>
      </c>
    </row>
    <row r="10">
      <c r="B10" s="23" t="n">
        <v>500</v>
      </c>
      <c r="C10" s="16" t="inlineStr">
        <is>
          <t>25+00.00</t>
        </is>
      </c>
      <c r="D10" s="23" t="n">
        <v>0</v>
      </c>
      <c r="E10" s="16" t="inlineStr">
        <is>
          <t>Eixo</t>
        </is>
      </c>
      <c r="F10" s="15" t="n">
        <v>250921.9808683183</v>
      </c>
      <c r="G10" s="15" t="n">
        <v>9134289.174247386</v>
      </c>
      <c r="H10" s="15" t="n">
        <v>154.3304389390302</v>
      </c>
      <c r="I10" s="22" t="n"/>
      <c r="J10" s="22">
        <f>IF(I10="","",I10-H10)</f>
        <v/>
      </c>
    </row>
    <row r="11">
      <c r="B11" s="24" t="n">
        <v>500</v>
      </c>
      <c r="C11" s="19" t="inlineStr">
        <is>
          <t>25+00.00</t>
        </is>
      </c>
      <c r="D11" s="24" t="n">
        <v>10</v>
      </c>
      <c r="E11" s="19" t="inlineStr">
        <is>
          <t>Direita</t>
        </is>
      </c>
      <c r="F11" s="18" t="n">
        <v>250931.9805982167</v>
      </c>
      <c r="G11" s="18" t="n">
        <v>9134289.100749372</v>
      </c>
      <c r="H11" s="18" t="n">
        <v>154.3304389390302</v>
      </c>
      <c r="I11" s="22" t="n"/>
      <c r="J11" s="22">
        <f>IF(I11="","",I11-H11)</f>
        <v/>
      </c>
    </row>
    <row r="12">
      <c r="B12" s="23" t="n">
        <v>1000</v>
      </c>
      <c r="C12" s="16" t="inlineStr">
        <is>
          <t>50+00.00</t>
        </is>
      </c>
      <c r="D12" s="23" t="n">
        <v>-10</v>
      </c>
      <c r="E12" s="16" t="inlineStr">
        <is>
          <t>Esquerda</t>
        </is>
      </c>
      <c r="F12" s="15" t="n">
        <v>251052.6704210211</v>
      </c>
      <c r="G12" s="15" t="n">
        <v>9134754.927492019</v>
      </c>
      <c r="H12" s="15" t="n">
        <v>134.9895248945149</v>
      </c>
      <c r="I12" s="22" t="n"/>
      <c r="J12" s="22">
        <f>IF(I12="","",I12-H12)</f>
        <v/>
      </c>
    </row>
    <row r="13">
      <c r="B13" s="24" t="n">
        <v>1000</v>
      </c>
      <c r="C13" s="19" t="inlineStr">
        <is>
          <t>50+00.00</t>
        </is>
      </c>
      <c r="D13" s="24" t="n">
        <v>0</v>
      </c>
      <c r="E13" s="19" t="inlineStr">
        <is>
          <t>Eixo</t>
        </is>
      </c>
      <c r="F13" s="18" t="n">
        <v>251062.4945848404</v>
      </c>
      <c r="G13" s="18" t="n">
        <v>9134753.060460886</v>
      </c>
      <c r="H13" s="18" t="n">
        <v>134.9895248945149</v>
      </c>
      <c r="I13" s="22" t="n"/>
      <c r="J13" s="22">
        <f>IF(I13="","",I13-H13)</f>
        <v/>
      </c>
    </row>
    <row r="14">
      <c r="B14" s="23" t="n">
        <v>1000</v>
      </c>
      <c r="C14" s="16" t="inlineStr">
        <is>
          <t>50+00.00</t>
        </is>
      </c>
      <c r="D14" s="23" t="n">
        <v>10</v>
      </c>
      <c r="E14" s="16" t="inlineStr">
        <is>
          <t>Direita</t>
        </is>
      </c>
      <c r="F14" s="15" t="n">
        <v>251072.3187486597</v>
      </c>
      <c r="G14" s="15" t="n">
        <v>9134751.193429753</v>
      </c>
      <c r="H14" s="15" t="n">
        <v>134.9895248945149</v>
      </c>
      <c r="I14" s="22" t="n"/>
      <c r="J14" s="22">
        <f>IF(I14="","",I14-H14)</f>
        <v/>
      </c>
    </row>
    <row r="15">
      <c r="B15" s="24" t="n">
        <v>1500</v>
      </c>
      <c r="C15" s="19" t="inlineStr">
        <is>
          <t>75+00.00</t>
        </is>
      </c>
      <c r="D15" s="24" t="n">
        <v>-10</v>
      </c>
      <c r="E15" s="19" t="inlineStr">
        <is>
          <t>Esquerda</t>
        </is>
      </c>
      <c r="F15" s="18" t="n">
        <v>250856.086696598</v>
      </c>
      <c r="G15" s="18" t="n">
        <v>9135194.917466156</v>
      </c>
      <c r="H15" s="18" t="n">
        <v>126.5858078093205</v>
      </c>
      <c r="I15" s="22" t="n"/>
      <c r="J15" s="22">
        <f>IF(I15="","",I15-H15)</f>
        <v/>
      </c>
    </row>
    <row r="16">
      <c r="B16" s="23" t="n">
        <v>1500</v>
      </c>
      <c r="C16" s="16" t="inlineStr">
        <is>
          <t>75+00.00</t>
        </is>
      </c>
      <c r="D16" s="23" t="n">
        <v>0</v>
      </c>
      <c r="E16" s="16" t="inlineStr">
        <is>
          <t>Eixo</t>
        </is>
      </c>
      <c r="F16" s="15" t="n">
        <v>250864.6747449919</v>
      </c>
      <c r="G16" s="15" t="n">
        <v>9135200.040495025</v>
      </c>
      <c r="H16" s="15" t="n">
        <v>126.5858078093205</v>
      </c>
      <c r="I16" s="22" t="n"/>
      <c r="J16" s="22">
        <f>IF(I16="","",I16-H16)</f>
        <v/>
      </c>
    </row>
    <row r="17">
      <c r="B17" s="24" t="n">
        <v>1500</v>
      </c>
      <c r="C17" s="19" t="inlineStr">
        <is>
          <t>75+00.00</t>
        </is>
      </c>
      <c r="D17" s="24" t="n">
        <v>10</v>
      </c>
      <c r="E17" s="19" t="inlineStr">
        <is>
          <t>Direita</t>
        </is>
      </c>
      <c r="F17" s="18" t="n">
        <v>250873.2627933858</v>
      </c>
      <c r="G17" s="18" t="n">
        <v>9135205.163523894</v>
      </c>
      <c r="H17" s="18" t="n">
        <v>126.5858078093205</v>
      </c>
      <c r="I17" s="22" t="n"/>
      <c r="J17" s="22">
        <f>IF(I17="","",I17-H17)</f>
        <v/>
      </c>
    </row>
  </sheetData>
  <autoFilter ref="B6:J17"/>
  <mergeCells count="2">
    <mergeCell ref="B3:J3"/>
    <mergeCell ref="B2:J2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86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0" customWidth="1" min="4" max="4"/>
    <col width="22" customWidth="1" min="5" max="5"/>
    <col width="22" customWidth="1" min="6" max="6"/>
    <col width="16" customWidth="1" min="7" max="7"/>
    <col width="50" customWidth="1" min="8" max="8"/>
  </cols>
  <sheetData>
    <row r="2" ht="28" customHeight="1">
      <c r="B2" s="1" t="inlineStr">
        <is>
          <t>Diferença entre cotas fornecidas e cotas coletadas / PE3D</t>
        </is>
      </c>
    </row>
    <row r="3" ht="30" customHeight="1">
      <c r="B3" s="2" t="inlineStr">
        <is>
          <t>Diferença preliminar calculada como Z coletada/PE3D − Z fornecida. O pareamento espacial é uma hipótese inicial e deve ser conferido no QGIS.</t>
        </is>
      </c>
    </row>
    <row r="5" ht="30" customHeight="1">
      <c r="B5" s="13" t="inlineStr">
        <is>
          <t>ID coletado</t>
        </is>
      </c>
      <c r="C5" s="13" t="inlineStr">
        <is>
          <t>ID fornecido</t>
        </is>
      </c>
      <c r="D5" s="13" t="inlineStr">
        <is>
          <t>Cota fornecida (m)</t>
        </is>
      </c>
      <c r="E5" s="13" t="inlineStr">
        <is>
          <t>Cota coletada/PE3D (m)</t>
        </is>
      </c>
      <c r="F5" s="13" t="inlineStr">
        <is>
          <t>Diferença Z (m)</t>
        </is>
      </c>
      <c r="G5" s="13" t="inlineStr">
        <is>
          <t>Resíduo XY (m)</t>
        </is>
      </c>
      <c r="H5" s="13" t="inlineStr">
        <is>
          <t>Observação</t>
        </is>
      </c>
    </row>
    <row r="6">
      <c r="B6" s="14" t="n">
        <v>88</v>
      </c>
      <c r="C6" s="14" t="n">
        <v>71</v>
      </c>
      <c r="D6" s="15" t="n">
        <v>126.178</v>
      </c>
      <c r="E6" s="15" t="n">
        <v>126.1783</v>
      </c>
      <c r="F6" s="15" t="n">
        <v>0.0002999999999957481</v>
      </c>
      <c r="G6" s="20" t="n">
        <v>0.0002828411824496753</v>
      </c>
      <c r="H6" s="16" t="inlineStr">
        <is>
          <t>Diferença preliminar; confirmar o pareamento e a origem da cota.</t>
        </is>
      </c>
    </row>
    <row r="7">
      <c r="B7" s="17" t="n">
        <v>89</v>
      </c>
      <c r="C7" s="17" t="n">
        <v>78</v>
      </c>
      <c r="D7" s="18" t="n">
        <v>126.3</v>
      </c>
      <c r="E7" s="18" t="n">
        <v>126.3</v>
      </c>
      <c r="F7" s="18" t="n">
        <v>0</v>
      </c>
      <c r="G7" s="21" t="n">
        <v>0.0006708209717697154</v>
      </c>
      <c r="H7" s="19" t="inlineStr">
        <is>
          <t>Diferença preliminar; confirmar o pareamento e a origem da cota.</t>
        </is>
      </c>
    </row>
    <row r="8">
      <c r="B8" s="14" t="n">
        <v>90</v>
      </c>
      <c r="C8" s="14" t="n">
        <v>72</v>
      </c>
      <c r="D8" s="15" t="n">
        <v>126.253</v>
      </c>
      <c r="E8" s="15" t="n">
        <v>126.2525</v>
      </c>
      <c r="F8" s="15" t="n">
        <v>-0.0005000000000023874</v>
      </c>
      <c r="G8" s="20" t="n">
        <v>0.0007615770868961392</v>
      </c>
      <c r="H8" s="16" t="inlineStr">
        <is>
          <t>Diferença preliminar; confirmar o pareamento e a origem da cota.</t>
        </is>
      </c>
    </row>
    <row r="9">
      <c r="B9" s="17" t="n">
        <v>91</v>
      </c>
      <c r="C9" s="17" t="n">
        <v>73</v>
      </c>
      <c r="D9" s="18" t="n">
        <v>126.41</v>
      </c>
      <c r="E9" s="18" t="n">
        <v>126.41</v>
      </c>
      <c r="F9" s="18" t="n">
        <v>0</v>
      </c>
      <c r="G9" s="21" t="n">
        <v>0.0007211098776744566</v>
      </c>
      <c r="H9" s="19" t="inlineStr">
        <is>
          <t>Diferença preliminar; confirmar o pareamento e a origem da cota.</t>
        </is>
      </c>
    </row>
    <row r="10">
      <c r="B10" s="14" t="n">
        <v>92</v>
      </c>
      <c r="C10" s="14" t="n">
        <v>74</v>
      </c>
      <c r="D10" s="15" t="n">
        <v>126.508</v>
      </c>
      <c r="E10" s="15" t="n">
        <v>126.5075</v>
      </c>
      <c r="F10" s="15" t="n">
        <v>-0.0005000000000023874</v>
      </c>
      <c r="G10" s="20" t="n">
        <v>0.0006403119723596985</v>
      </c>
      <c r="H10" s="16" t="inlineStr">
        <is>
          <t>Diferença preliminar; confirmar o pareamento e a origem da cota.</t>
        </is>
      </c>
    </row>
    <row r="11">
      <c r="B11" s="17" t="n">
        <v>93</v>
      </c>
      <c r="C11" s="17" t="n">
        <v>75</v>
      </c>
      <c r="D11" s="18" t="n">
        <v>126.57</v>
      </c>
      <c r="E11" s="18" t="n">
        <v>126.57</v>
      </c>
      <c r="F11" s="18" t="n">
        <v>0</v>
      </c>
      <c r="G11" s="21" t="n">
        <v>0.0005830960507216895</v>
      </c>
      <c r="H11" s="19" t="inlineStr">
        <is>
          <t>Diferença preliminar; confirmar o pareamento e a origem da cota.</t>
        </is>
      </c>
    </row>
    <row r="12">
      <c r="B12" s="14" t="n">
        <v>94</v>
      </c>
      <c r="C12" s="14" t="n">
        <v>76</v>
      </c>
      <c r="D12" s="15" t="n">
        <v>126.592</v>
      </c>
      <c r="E12" s="15" t="n">
        <v>126.592</v>
      </c>
      <c r="F12" s="15" t="n">
        <v>0</v>
      </c>
      <c r="G12" s="20" t="n">
        <v>0.0004472146449764622</v>
      </c>
      <c r="H12" s="16" t="inlineStr">
        <is>
          <t>Diferença preliminar; confirmar o pareamento e a origem da cota.</t>
        </is>
      </c>
    </row>
    <row r="13">
      <c r="B13" s="17" t="n">
        <v>95</v>
      </c>
      <c r="C13" s="17" t="n">
        <v>77</v>
      </c>
      <c r="D13" s="18" t="n">
        <v>126.505</v>
      </c>
      <c r="E13" s="18" t="n">
        <v>126.505</v>
      </c>
      <c r="F13" s="18" t="n">
        <v>0</v>
      </c>
      <c r="G13" s="21" t="n">
        <v>0.0004123117044813819</v>
      </c>
      <c r="H13" s="19" t="inlineStr">
        <is>
          <t>Diferença preliminar; confirmar o pareamento e a origem da cota.</t>
        </is>
      </c>
    </row>
    <row r="14">
      <c r="B14" s="14" t="n">
        <v>96</v>
      </c>
      <c r="C14" s="14" t="n">
        <v>79</v>
      </c>
      <c r="D14" s="15" t="n">
        <v>125.88</v>
      </c>
      <c r="E14" s="15" t="n">
        <v>125.88</v>
      </c>
      <c r="F14" s="15" t="n">
        <v>0</v>
      </c>
      <c r="G14" s="20" t="n">
        <v>0.0003999993205070496</v>
      </c>
      <c r="H14" s="16" t="inlineStr">
        <is>
          <t>Diferença preliminar; confirmar o pareamento e a origem da cota.</t>
        </is>
      </c>
    </row>
    <row r="15">
      <c r="B15" s="17" t="n">
        <v>97</v>
      </c>
      <c r="C15" s="17" t="n">
        <v>15</v>
      </c>
      <c r="D15" s="18" t="n">
        <v>152.06</v>
      </c>
      <c r="E15" s="18" t="n">
        <v>152.0595</v>
      </c>
      <c r="F15" s="18" t="n">
        <v>-0.0004999999999881766</v>
      </c>
      <c r="G15" s="21" t="n">
        <v>0.0003162272932546276</v>
      </c>
      <c r="H15" s="19" t="inlineStr">
        <is>
          <t>Diferença preliminar; confirmar o pareamento e a origem da cota.</t>
        </is>
      </c>
    </row>
    <row r="16">
      <c r="B16" s="14" t="n">
        <v>98</v>
      </c>
      <c r="C16" s="14" t="n">
        <v>16</v>
      </c>
      <c r="D16" s="15" t="n">
        <v>151.82</v>
      </c>
      <c r="E16" s="15" t="n">
        <v>151.82</v>
      </c>
      <c r="F16" s="15" t="n">
        <v>0</v>
      </c>
      <c r="G16" s="20" t="n">
        <v>0.0003162272840511727</v>
      </c>
      <c r="H16" s="16" t="inlineStr">
        <is>
          <t>Diferença preliminar; confirmar o pareamento e a origem da cota.</t>
        </is>
      </c>
    </row>
    <row r="17">
      <c r="B17" s="17" t="n">
        <v>99</v>
      </c>
      <c r="C17" s="17" t="n">
        <v>17</v>
      </c>
      <c r="D17" s="18" t="n">
        <v>151.615</v>
      </c>
      <c r="E17" s="18" t="n">
        <v>151.615</v>
      </c>
      <c r="F17" s="18" t="n">
        <v>0</v>
      </c>
      <c r="G17" s="21" t="n">
        <v>0.0005999999702908099</v>
      </c>
      <c r="H17" s="19" t="inlineStr">
        <is>
          <t>Diferença preliminar; confirmar o pareamento e a origem da cota.</t>
        </is>
      </c>
    </row>
    <row r="18">
      <c r="B18" s="14" t="n">
        <v>100</v>
      </c>
      <c r="C18" s="14" t="n">
        <v>18</v>
      </c>
      <c r="D18" s="15" t="n">
        <v>151.69</v>
      </c>
      <c r="E18" s="15" t="n">
        <v>151.69</v>
      </c>
      <c r="F18" s="15" t="n">
        <v>0</v>
      </c>
      <c r="G18" s="20" t="n">
        <v>0.000316229051111756</v>
      </c>
      <c r="H18" s="16" t="inlineStr">
        <is>
          <t>Diferença preliminar; confirmar o pareamento e a origem da cota.</t>
        </is>
      </c>
    </row>
    <row r="19">
      <c r="B19" s="17" t="n">
        <v>101</v>
      </c>
      <c r="C19" s="17" t="n">
        <v>19</v>
      </c>
      <c r="D19" s="18" t="n">
        <v>151.875</v>
      </c>
      <c r="E19" s="18" t="n">
        <v>151.875</v>
      </c>
      <c r="F19" s="18" t="n">
        <v>0</v>
      </c>
      <c r="G19" s="21" t="n">
        <v>0.0004123099045087935</v>
      </c>
      <c r="H19" s="19" t="inlineStr">
        <is>
          <t>Diferença preliminar; confirmar o pareamento e a origem da cota.</t>
        </is>
      </c>
    </row>
    <row r="20">
      <c r="B20" s="14" t="n">
        <v>102</v>
      </c>
      <c r="C20" s="14" t="n">
        <v>20</v>
      </c>
      <c r="D20" s="15" t="n">
        <v>152.195</v>
      </c>
      <c r="E20" s="15" t="n">
        <v>152.195</v>
      </c>
      <c r="F20" s="15" t="n">
        <v>0</v>
      </c>
      <c r="G20" s="20" t="n">
        <v>0.000282841141290416</v>
      </c>
      <c r="H20" s="16" t="inlineStr">
        <is>
          <t>Diferença preliminar; confirmar o pareamento e a origem da cota.</t>
        </is>
      </c>
    </row>
    <row r="21">
      <c r="B21" s="17" t="n">
        <v>103</v>
      </c>
      <c r="C21" s="17" t="n">
        <v>21</v>
      </c>
      <c r="D21" s="18" t="n">
        <v>152.568</v>
      </c>
      <c r="E21" s="18" t="n">
        <v>152.5675</v>
      </c>
      <c r="F21" s="18" t="n">
        <v>-0.0005000000000165983</v>
      </c>
      <c r="G21" s="21" t="n">
        <v>0.0006324554240221944</v>
      </c>
      <c r="H21" s="19" t="inlineStr">
        <is>
          <t>Diferença preliminar; confirmar o pareamento e a origem da cota.</t>
        </is>
      </c>
    </row>
    <row r="22">
      <c r="B22" s="14" t="n">
        <v>104</v>
      </c>
      <c r="C22" s="14" t="n">
        <v>22</v>
      </c>
      <c r="D22" s="15" t="n">
        <v>153.21</v>
      </c>
      <c r="E22" s="15" t="n">
        <v>153.21</v>
      </c>
      <c r="F22" s="15" t="n">
        <v>0</v>
      </c>
      <c r="G22" s="20" t="n">
        <v>0.0003162272748477201</v>
      </c>
      <c r="H22" s="16" t="inlineStr">
        <is>
          <t>Diferença preliminar; confirmar o pareamento e a origem da cota.</t>
        </is>
      </c>
    </row>
    <row r="23">
      <c r="B23" s="17" t="n">
        <v>105</v>
      </c>
      <c r="C23" s="17" t="n">
        <v>23</v>
      </c>
      <c r="D23" s="18" t="n">
        <v>153.95</v>
      </c>
      <c r="E23" s="18" t="n">
        <v>153.95</v>
      </c>
      <c r="F23" s="18" t="n">
        <v>0</v>
      </c>
      <c r="G23" s="21" t="n">
        <v>0.0005385156848159556</v>
      </c>
      <c r="H23" s="19" t="inlineStr">
        <is>
          <t>Diferença preliminar; confirmar o pareamento e a origem da cota.</t>
        </is>
      </c>
    </row>
    <row r="24">
      <c r="B24" s="14" t="n">
        <v>106</v>
      </c>
      <c r="C24" s="14" t="n">
        <v>24</v>
      </c>
      <c r="D24" s="15" t="n">
        <v>154.518</v>
      </c>
      <c r="E24" s="15" t="n">
        <v>154.5175</v>
      </c>
      <c r="F24" s="15" t="n">
        <v>-0.0004999999999881766</v>
      </c>
      <c r="G24" s="20" t="n">
        <v>0.0006082761957978909</v>
      </c>
      <c r="H24" s="16" t="inlineStr">
        <is>
          <t>Diferença preliminar; confirmar o pareamento e a origem da cota.</t>
        </is>
      </c>
    </row>
    <row r="25">
      <c r="B25" s="17" t="n">
        <v>107</v>
      </c>
      <c r="C25" s="17" t="n">
        <v>25</v>
      </c>
      <c r="D25" s="18" t="n">
        <v>154.618</v>
      </c>
      <c r="E25" s="18" t="n">
        <v>154.6175</v>
      </c>
      <c r="F25" s="18" t="n">
        <v>-0.0004999999999881766</v>
      </c>
      <c r="G25" s="21" t="n">
        <v>0.0001999996602535269</v>
      </c>
      <c r="H25" s="19" t="inlineStr">
        <is>
          <t>Diferença preliminar; confirmar o pareamento e a origem da cota.</t>
        </is>
      </c>
    </row>
    <row r="26">
      <c r="B26" s="14" t="n">
        <v>108</v>
      </c>
      <c r="C26" s="14" t="n">
        <v>26</v>
      </c>
      <c r="D26" s="15" t="n">
        <v>154.34</v>
      </c>
      <c r="E26" s="15" t="n">
        <v>154.34</v>
      </c>
      <c r="F26" s="15" t="n">
        <v>0</v>
      </c>
      <c r="G26" s="20" t="n">
        <v>0.0006082761957978909</v>
      </c>
      <c r="H26" s="16" t="inlineStr">
        <is>
          <t>Diferença preliminar; confirmar o pareamento e a origem da cota.</t>
        </is>
      </c>
    </row>
    <row r="27">
      <c r="B27" s="17" t="n">
        <v>109</v>
      </c>
      <c r="C27" s="17" t="n">
        <v>27</v>
      </c>
      <c r="D27" s="18" t="n">
        <v>153.85</v>
      </c>
      <c r="E27" s="18" t="n">
        <v>153.85</v>
      </c>
      <c r="F27" s="18" t="n">
        <v>0</v>
      </c>
      <c r="G27" s="21" t="n">
        <v>0.0005385174250474948</v>
      </c>
      <c r="H27" s="19" t="inlineStr">
        <is>
          <t>Diferença preliminar; confirmar o pareamento e a origem da cota.</t>
        </is>
      </c>
    </row>
    <row r="28">
      <c r="B28" s="14" t="n">
        <v>110</v>
      </c>
      <c r="C28" s="14" t="n">
        <v>28</v>
      </c>
      <c r="D28" s="15" t="n">
        <v>153.267</v>
      </c>
      <c r="E28" s="15" t="n">
        <v>153.2667</v>
      </c>
      <c r="F28" s="15" t="n">
        <v>-0.000300000000009959</v>
      </c>
      <c r="G28" s="20" t="n">
        <v>0.000699999975040555</v>
      </c>
      <c r="H28" s="16" t="inlineStr">
        <is>
          <t>Diferença preliminar; confirmar o pareamento e a origem da cota.</t>
        </is>
      </c>
    </row>
    <row r="29">
      <c r="B29" s="17" t="n">
        <v>111</v>
      </c>
      <c r="C29" s="17" t="n">
        <v>29</v>
      </c>
      <c r="D29" s="18" t="n">
        <v>152.36</v>
      </c>
      <c r="E29" s="18" t="n">
        <v>152.36</v>
      </c>
      <c r="F29" s="18" t="n">
        <v>0</v>
      </c>
      <c r="G29" s="21" t="n">
        <v>0.0001414212394774221</v>
      </c>
      <c r="H29" s="19" t="inlineStr">
        <is>
          <t>Diferença preliminar; confirmar o pareamento e a origem da cota.</t>
        </is>
      </c>
    </row>
    <row r="30">
      <c r="B30" s="14" t="n">
        <v>112</v>
      </c>
      <c r="C30" s="14" t="n">
        <v>30</v>
      </c>
      <c r="D30" s="15" t="n">
        <v>151.48</v>
      </c>
      <c r="E30" s="15" t="n">
        <v>151.48</v>
      </c>
      <c r="F30" s="15" t="n">
        <v>0</v>
      </c>
      <c r="G30" s="20" t="n">
        <v>0.0002236064829800533</v>
      </c>
      <c r="H30" s="16" t="inlineStr">
        <is>
          <t>Diferença preliminar; confirmar o pareamento e a origem da cota.</t>
        </is>
      </c>
    </row>
    <row r="31">
      <c r="B31" s="17" t="n">
        <v>113</v>
      </c>
      <c r="C31" s="17" t="n">
        <v>31</v>
      </c>
      <c r="D31" s="18" t="n">
        <v>150.833</v>
      </c>
      <c r="E31" s="18" t="n">
        <v>150.8325</v>
      </c>
      <c r="F31" s="18" t="n">
        <v>-0.0004999999999881766</v>
      </c>
      <c r="G31" s="21" t="n">
        <v>0.0004472134345227628</v>
      </c>
      <c r="H31" s="19" t="inlineStr">
        <is>
          <t>Diferença preliminar; confirmar o pareamento e a origem da cota.</t>
        </is>
      </c>
    </row>
    <row r="32">
      <c r="B32" s="14" t="n">
        <v>114</v>
      </c>
      <c r="C32" s="14" t="n">
        <v>32</v>
      </c>
      <c r="D32" s="15" t="n">
        <v>150.194</v>
      </c>
      <c r="E32" s="15" t="n">
        <v>150.194</v>
      </c>
      <c r="F32" s="15" t="n">
        <v>0</v>
      </c>
      <c r="G32" s="20" t="n">
        <v>0.000699999975040555</v>
      </c>
      <c r="H32" s="16" t="inlineStr">
        <is>
          <t>Diferença preliminar; confirmar o pareamento e a origem da cota.</t>
        </is>
      </c>
    </row>
    <row r="33">
      <c r="B33" s="17" t="n">
        <v>115</v>
      </c>
      <c r="C33" s="17" t="n">
        <v>33</v>
      </c>
      <c r="D33" s="18" t="n">
        <v>149.57</v>
      </c>
      <c r="E33" s="18" t="n">
        <v>149.57</v>
      </c>
      <c r="F33" s="18" t="n">
        <v>0</v>
      </c>
      <c r="G33" s="21" t="n">
        <v>2.91038304567337e-11</v>
      </c>
      <c r="H33" s="19" t="inlineStr">
        <is>
          <t>Diferença preliminar; confirmar o pareamento e a origem da cota.</t>
        </is>
      </c>
    </row>
    <row r="34">
      <c r="B34" s="14" t="n">
        <v>116</v>
      </c>
      <c r="C34" s="14" t="n">
        <v>34</v>
      </c>
      <c r="D34" s="15" t="n">
        <v>148.895</v>
      </c>
      <c r="E34" s="15" t="n">
        <v>148.895</v>
      </c>
      <c r="F34" s="15" t="n">
        <v>0</v>
      </c>
      <c r="G34" s="20" t="n">
        <v>0.0003162276705956137</v>
      </c>
      <c r="H34" s="16" t="inlineStr">
        <is>
          <t>Diferença preliminar; confirmar o pareamento e a origem da cota.</t>
        </is>
      </c>
    </row>
    <row r="35">
      <c r="B35" s="17" t="n">
        <v>117</v>
      </c>
      <c r="C35" s="17" t="n">
        <v>35</v>
      </c>
      <c r="D35" s="18" t="n">
        <v>147.865</v>
      </c>
      <c r="E35" s="18" t="n">
        <v>147.865</v>
      </c>
      <c r="F35" s="18" t="n">
        <v>0</v>
      </c>
      <c r="G35" s="21" t="n">
        <v>0.0004123117115400773</v>
      </c>
      <c r="H35" s="19" t="inlineStr">
        <is>
          <t>Diferença preliminar; confirmar o pareamento e a origem da cota.</t>
        </is>
      </c>
    </row>
    <row r="36">
      <c r="B36" s="14" t="n">
        <v>118</v>
      </c>
      <c r="C36" s="14" t="n">
        <v>36</v>
      </c>
      <c r="D36" s="15" t="n">
        <v>147.035</v>
      </c>
      <c r="E36" s="15" t="n">
        <v>147.035</v>
      </c>
      <c r="F36" s="15" t="n">
        <v>0</v>
      </c>
      <c r="G36" s="20" t="n">
        <v>0.0008062263401675342</v>
      </c>
      <c r="H36" s="16" t="inlineStr">
        <is>
          <t>Diferença preliminar; confirmar o pareamento e a origem da cota.</t>
        </is>
      </c>
    </row>
    <row r="37">
      <c r="B37" s="17" t="n">
        <v>119</v>
      </c>
      <c r="C37" s="17" t="n">
        <v>37</v>
      </c>
      <c r="D37" s="18" t="n">
        <v>146.31</v>
      </c>
      <c r="E37" s="18" t="n">
        <v>146.31</v>
      </c>
      <c r="F37" s="18" t="n">
        <v>0</v>
      </c>
      <c r="G37" s="21" t="n">
        <v>0.0007211098534585935</v>
      </c>
      <c r="H37" s="19" t="inlineStr">
        <is>
          <t>Diferença preliminar; confirmar o pareamento e a origem da cota.</t>
        </is>
      </c>
    </row>
    <row r="38">
      <c r="B38" s="14" t="n">
        <v>120</v>
      </c>
      <c r="C38" s="14" t="n">
        <v>41</v>
      </c>
      <c r="D38" s="15" t="n">
        <v>142.695</v>
      </c>
      <c r="E38" s="15" t="n">
        <v>142.695</v>
      </c>
      <c r="F38" s="15" t="n">
        <v>0</v>
      </c>
      <c r="G38" s="20" t="n">
        <v>0.0005830949226955482</v>
      </c>
      <c r="H38" s="16" t="inlineStr">
        <is>
          <t>Diferença preliminar; confirmar o pareamento e a origem da cota.</t>
        </is>
      </c>
    </row>
    <row r="39">
      <c r="B39" s="17" t="n">
        <v>121</v>
      </c>
      <c r="C39" s="17" t="n">
        <v>42</v>
      </c>
      <c r="D39" s="18" t="n">
        <v>141.418</v>
      </c>
      <c r="E39" s="18" t="n">
        <v>141.4175</v>
      </c>
      <c r="F39" s="18" t="n">
        <v>-0.0005000000000165983</v>
      </c>
      <c r="G39" s="21" t="n">
        <v>0.0006324559854335806</v>
      </c>
      <c r="H39" s="19" t="inlineStr">
        <is>
          <t>Diferença preliminar; confirmar o pareamento e a origem da cota.</t>
        </is>
      </c>
    </row>
    <row r="40">
      <c r="B40" s="14" t="n">
        <v>122</v>
      </c>
      <c r="C40" s="14" t="n">
        <v>43</v>
      </c>
      <c r="D40" s="15" t="n">
        <v>140.3</v>
      </c>
      <c r="E40" s="15" t="n">
        <v>140.3</v>
      </c>
      <c r="F40" s="15" t="n">
        <v>0</v>
      </c>
      <c r="G40" s="20" t="n">
        <v>0.0007071067324542731</v>
      </c>
      <c r="H40" s="16" t="inlineStr">
        <is>
          <t>Diferença preliminar; confirmar o pareamento e a origem da cota.</t>
        </is>
      </c>
    </row>
    <row r="41">
      <c r="B41" s="17" t="n">
        <v>123</v>
      </c>
      <c r="C41" s="17" t="n">
        <v>44</v>
      </c>
      <c r="D41" s="18" t="n">
        <v>139.309</v>
      </c>
      <c r="E41" s="18" t="n">
        <v>139.3086</v>
      </c>
      <c r="F41" s="18" t="n">
        <v>-0.0003999999999848569</v>
      </c>
      <c r="G41" s="21" t="n">
        <v>0.0002236075632822915</v>
      </c>
      <c r="H41" s="19" t="inlineStr">
        <is>
          <t>Diferença preliminar; confirmar o pareamento e a origem da cota.</t>
        </is>
      </c>
    </row>
    <row r="42">
      <c r="B42" s="14" t="n">
        <v>124</v>
      </c>
      <c r="C42" s="14" t="n">
        <v>45</v>
      </c>
      <c r="D42" s="15" t="n">
        <v>138.16</v>
      </c>
      <c r="E42" s="15" t="n">
        <v>138.16</v>
      </c>
      <c r="F42" s="15" t="n">
        <v>0</v>
      </c>
      <c r="G42" s="20" t="n">
        <v>0.0007211098534585935</v>
      </c>
      <c r="H42" s="16" t="inlineStr">
        <is>
          <t>Diferença preliminar; confirmar o pareamento e a origem da cota.</t>
        </is>
      </c>
    </row>
    <row r="43">
      <c r="B43" s="17" t="n">
        <v>125</v>
      </c>
      <c r="C43" s="17" t="n">
        <v>46</v>
      </c>
      <c r="D43" s="18" t="n">
        <v>137.108</v>
      </c>
      <c r="E43" s="18" t="n">
        <v>137.1075</v>
      </c>
      <c r="F43" s="18" t="n">
        <v>-0.0005000000000165983</v>
      </c>
      <c r="G43" s="21" t="n">
        <v>0.0005099018842546547</v>
      </c>
      <c r="H43" s="19" t="inlineStr">
        <is>
          <t>Diferença preliminar; confirmar o pareamento e a origem da cota.</t>
        </is>
      </c>
    </row>
    <row r="44">
      <c r="B44" s="14" t="n">
        <v>126</v>
      </c>
      <c r="C44" s="14" t="n">
        <v>38</v>
      </c>
      <c r="D44" s="15" t="n">
        <v>145.58</v>
      </c>
      <c r="E44" s="15" t="n">
        <v>145.58</v>
      </c>
      <c r="F44" s="15" t="n">
        <v>0</v>
      </c>
      <c r="G44" s="20" t="n">
        <v>0.0004123117115400773</v>
      </c>
      <c r="H44" s="16" t="inlineStr">
        <is>
          <t>Diferença preliminar; confirmar o pareamento e a origem da cota.</t>
        </is>
      </c>
    </row>
    <row r="45">
      <c r="B45" s="17" t="n">
        <v>127</v>
      </c>
      <c r="C45" s="17" t="n">
        <v>47</v>
      </c>
      <c r="D45" s="18" t="n">
        <v>136.575</v>
      </c>
      <c r="E45" s="18" t="n">
        <v>136.575</v>
      </c>
      <c r="F45" s="18" t="n">
        <v>0</v>
      </c>
      <c r="G45" s="21" t="n">
        <v>0.000447213408491497</v>
      </c>
      <c r="H45" s="19" t="inlineStr">
        <is>
          <t>Diferença preliminar; confirmar o pareamento e a origem da cota.</t>
        </is>
      </c>
    </row>
    <row r="46">
      <c r="B46" s="14" t="n">
        <v>128</v>
      </c>
      <c r="C46" s="14" t="n">
        <v>39</v>
      </c>
      <c r="D46" s="15" t="n">
        <v>144.73</v>
      </c>
      <c r="E46" s="15" t="n">
        <v>144.73</v>
      </c>
      <c r="F46" s="15" t="n">
        <v>0</v>
      </c>
      <c r="G46" s="20" t="n">
        <v>0.0005385170413335905</v>
      </c>
      <c r="H46" s="16" t="inlineStr">
        <is>
          <t>Diferença preliminar; confirmar o pareamento e a origem da cota.</t>
        </is>
      </c>
    </row>
    <row r="47">
      <c r="B47" s="17" t="n">
        <v>129</v>
      </c>
      <c r="C47" s="17" t="n">
        <v>48</v>
      </c>
      <c r="D47" s="18" t="n">
        <v>136.26</v>
      </c>
      <c r="E47" s="18" t="n">
        <v>136.26</v>
      </c>
      <c r="F47" s="18" t="n">
        <v>0</v>
      </c>
      <c r="G47" s="21" t="n">
        <v>0.0002999999851454049</v>
      </c>
      <c r="H47" s="19" t="inlineStr">
        <is>
          <t>Diferença preliminar; confirmar o pareamento e a origem da cota.</t>
        </is>
      </c>
    </row>
    <row r="48">
      <c r="B48" s="14" t="n">
        <v>130</v>
      </c>
      <c r="C48" s="14" t="n">
        <v>40</v>
      </c>
      <c r="D48" s="15" t="n">
        <v>143.58</v>
      </c>
      <c r="E48" s="15" t="n">
        <v>143.58</v>
      </c>
      <c r="F48" s="15" t="n">
        <v>0</v>
      </c>
      <c r="G48" s="20" t="n">
        <v>0.0001414212394774221</v>
      </c>
      <c r="H48" s="16" t="inlineStr">
        <is>
          <t>Diferença preliminar; confirmar o pareamento e a origem da cota.</t>
        </is>
      </c>
    </row>
    <row r="49">
      <c r="B49" s="17" t="n">
        <v>131</v>
      </c>
      <c r="C49" s="17" t="n">
        <v>49</v>
      </c>
      <c r="D49" s="18" t="n">
        <v>135.875</v>
      </c>
      <c r="E49" s="18" t="n">
        <v>135.875</v>
      </c>
      <c r="F49" s="18" t="n">
        <v>0</v>
      </c>
      <c r="G49" s="21" t="n">
        <v>0.0008602330953507692</v>
      </c>
      <c r="H49" s="19" t="inlineStr">
        <is>
          <t>Diferença preliminar; confirmar o pareamento e a origem da cota.</t>
        </is>
      </c>
    </row>
    <row r="50">
      <c r="B50" s="14" t="n">
        <v>132</v>
      </c>
      <c r="C50" s="14" t="n">
        <v>50</v>
      </c>
      <c r="D50" s="15" t="n">
        <v>135.37</v>
      </c>
      <c r="E50" s="15" t="n">
        <v>135.37</v>
      </c>
      <c r="F50" s="15" t="n">
        <v>0</v>
      </c>
      <c r="G50" s="20" t="n">
        <v>0.0003162290419083548</v>
      </c>
      <c r="H50" s="16" t="inlineStr">
        <is>
          <t>Diferença preliminar; confirmar o pareamento e a origem da cota.</t>
        </is>
      </c>
    </row>
    <row r="51">
      <c r="B51" s="17" t="n">
        <v>133</v>
      </c>
      <c r="C51" s="17" t="n">
        <v>51</v>
      </c>
      <c r="D51" s="18" t="n">
        <v>135</v>
      </c>
      <c r="E51" s="18" t="n">
        <v>135</v>
      </c>
      <c r="F51" s="18" t="n">
        <v>0</v>
      </c>
      <c r="G51" s="21" t="n">
        <v>0.0001414225565714213</v>
      </c>
      <c r="H51" s="19" t="inlineStr">
        <is>
          <t>Diferença preliminar; confirmar o pareamento e a origem da cota.</t>
        </is>
      </c>
    </row>
    <row r="52">
      <c r="B52" s="14" t="n">
        <v>134</v>
      </c>
      <c r="C52" s="14" t="n">
        <v>52</v>
      </c>
      <c r="D52" s="15" t="n">
        <v>134.805</v>
      </c>
      <c r="E52" s="15" t="n">
        <v>134.805</v>
      </c>
      <c r="F52" s="15" t="n">
        <v>0</v>
      </c>
      <c r="G52" s="20" t="n">
        <v>0.0007999999797924685</v>
      </c>
      <c r="H52" s="16" t="inlineStr">
        <is>
          <t>Diferença preliminar; confirmar o pareamento e a origem da cota.</t>
        </is>
      </c>
    </row>
    <row r="53">
      <c r="B53" s="17" t="n">
        <v>135</v>
      </c>
      <c r="C53" s="17" t="n">
        <v>53</v>
      </c>
      <c r="D53" s="18" t="n">
        <v>134.555</v>
      </c>
      <c r="E53" s="18" t="n">
        <v>134.555</v>
      </c>
      <c r="F53" s="18" t="n">
        <v>0</v>
      </c>
      <c r="G53" s="21" t="n">
        <v>0.0006324548073951004</v>
      </c>
      <c r="H53" s="19" t="inlineStr">
        <is>
          <t>Diferença preliminar; confirmar o pareamento e a origem da cota.</t>
        </is>
      </c>
    </row>
    <row r="54">
      <c r="B54" s="14" t="n">
        <v>136</v>
      </c>
      <c r="C54" s="14" t="n">
        <v>54</v>
      </c>
      <c r="D54" s="15" t="n">
        <v>134.35</v>
      </c>
      <c r="E54" s="15" t="n">
        <v>134.35</v>
      </c>
      <c r="F54" s="15" t="n">
        <v>0</v>
      </c>
      <c r="G54" s="20" t="n">
        <v>0.0005830949226955482</v>
      </c>
      <c r="H54" s="16" t="inlineStr">
        <is>
          <t>Diferença preliminar; confirmar o pareamento e a origem da cota.</t>
        </is>
      </c>
    </row>
    <row r="55">
      <c r="B55" s="17" t="n">
        <v>137</v>
      </c>
      <c r="C55" s="17" t="n">
        <v>55</v>
      </c>
      <c r="D55" s="18" t="n">
        <v>134.16</v>
      </c>
      <c r="E55" s="18" t="n">
        <v>134.16</v>
      </c>
      <c r="F55" s="18" t="n">
        <v>0</v>
      </c>
      <c r="G55" s="21" t="n">
        <v>0.0001999999803956598</v>
      </c>
      <c r="H55" s="19" t="inlineStr">
        <is>
          <t>Diferença preliminar; confirmar o pareamento e a origem da cota.</t>
        </is>
      </c>
    </row>
    <row r="56">
      <c r="B56" s="14" t="n">
        <v>138</v>
      </c>
      <c r="C56" s="14" t="n">
        <v>56</v>
      </c>
      <c r="D56" s="15" t="n">
        <v>133.76</v>
      </c>
      <c r="E56" s="15" t="n">
        <v>133.76</v>
      </c>
      <c r="F56" s="15" t="n">
        <v>0</v>
      </c>
      <c r="G56" s="20" t="n">
        <v>0.000781025615811387</v>
      </c>
      <c r="H56" s="16" t="inlineStr">
        <is>
          <t>Diferença preliminar; confirmar o pareamento e a origem da cota.</t>
        </is>
      </c>
    </row>
    <row r="57">
      <c r="B57" s="17" t="n">
        <v>139</v>
      </c>
      <c r="C57" s="17" t="n">
        <v>57</v>
      </c>
      <c r="D57" s="18" t="n">
        <v>133.47</v>
      </c>
      <c r="E57" s="18" t="n">
        <v>133.47</v>
      </c>
      <c r="F57" s="18" t="n">
        <v>0</v>
      </c>
      <c r="G57" s="21" t="n">
        <v>2.91038304567337e-11</v>
      </c>
      <c r="H57" s="19" t="inlineStr">
        <is>
          <t>Diferença preliminar; confirmar o pareamento e a origem da cota.</t>
        </is>
      </c>
    </row>
    <row r="58">
      <c r="B58" s="14" t="n">
        <v>140</v>
      </c>
      <c r="C58" s="14" t="n">
        <v>58</v>
      </c>
      <c r="D58" s="15" t="n">
        <v>132.99</v>
      </c>
      <c r="E58" s="15" t="n">
        <v>132.99</v>
      </c>
      <c r="F58" s="15" t="n">
        <v>0</v>
      </c>
      <c r="G58" s="20" t="n">
        <v>0.0003605549267292967</v>
      </c>
      <c r="H58" s="16" t="inlineStr">
        <is>
          <t>Diferença preliminar; confirmar o pareamento e a origem da cota.</t>
        </is>
      </c>
    </row>
    <row r="59">
      <c r="B59" s="17" t="n">
        <v>141</v>
      </c>
      <c r="C59" s="17" t="n">
        <v>59</v>
      </c>
      <c r="D59" s="18" t="n">
        <v>132.335</v>
      </c>
      <c r="E59" s="18" t="n">
        <v>132.335</v>
      </c>
      <c r="F59" s="18" t="n">
        <v>0</v>
      </c>
      <c r="G59" s="21" t="n">
        <v>0.0002236064959956986</v>
      </c>
      <c r="H59" s="19" t="inlineStr">
        <is>
          <t>Diferença preliminar; confirmar o pareamento e a origem da cota.</t>
        </is>
      </c>
    </row>
    <row r="60">
      <c r="B60" s="14" t="n">
        <v>142</v>
      </c>
      <c r="C60" s="14" t="n">
        <v>60</v>
      </c>
      <c r="D60" s="15" t="n">
        <v>131.335</v>
      </c>
      <c r="E60" s="15" t="n">
        <v>131.335</v>
      </c>
      <c r="F60" s="15" t="n">
        <v>0</v>
      </c>
      <c r="G60" s="20" t="n">
        <v>0.0005099018842546547</v>
      </c>
      <c r="H60" s="16" t="inlineStr">
        <is>
          <t>Diferença preliminar; confirmar o pareamento e a origem da cota.</t>
        </is>
      </c>
    </row>
    <row r="61">
      <c r="B61" s="17" t="n">
        <v>143</v>
      </c>
      <c r="C61" s="17" t="n">
        <v>61</v>
      </c>
      <c r="D61" s="18" t="n">
        <v>130.28</v>
      </c>
      <c r="E61" s="18" t="n">
        <v>130.28</v>
      </c>
      <c r="F61" s="18" t="n">
        <v>0</v>
      </c>
      <c r="G61" s="21" t="n">
        <v>0.0005999999702937011</v>
      </c>
      <c r="H61" s="19" t="inlineStr">
        <is>
          <t>Diferença preliminar; confirmar o pareamento e a origem da cota.</t>
        </is>
      </c>
    </row>
    <row r="62">
      <c r="B62" s="14" t="n">
        <v>144</v>
      </c>
      <c r="C62" s="14" t="n">
        <v>62</v>
      </c>
      <c r="D62" s="15" t="n">
        <v>128.9</v>
      </c>
      <c r="E62" s="15" t="n">
        <v>128.9</v>
      </c>
      <c r="F62" s="15" t="n">
        <v>0</v>
      </c>
      <c r="G62" s="20" t="n">
        <v>0.0007280114112868894</v>
      </c>
      <c r="H62" s="16" t="inlineStr">
        <is>
          <t>Diferença preliminar; confirmar o pareamento e a origem da cota.</t>
        </is>
      </c>
    </row>
    <row r="63">
      <c r="B63" s="17" t="n">
        <v>145</v>
      </c>
      <c r="C63" s="17" t="n">
        <v>63</v>
      </c>
      <c r="D63" s="18" t="n">
        <v>128.043</v>
      </c>
      <c r="E63" s="18" t="n">
        <v>128.0425</v>
      </c>
      <c r="F63" s="18" t="n">
        <v>-0.0005000000000165983</v>
      </c>
      <c r="G63" s="21" t="n">
        <v>0.0003605562586017454</v>
      </c>
      <c r="H63" s="19" t="inlineStr">
        <is>
          <t>Diferença preliminar; confirmar o pareamento e a origem da cota.</t>
        </is>
      </c>
    </row>
    <row r="64">
      <c r="B64" s="14" t="n">
        <v>146</v>
      </c>
      <c r="C64" s="14" t="n">
        <v>64</v>
      </c>
      <c r="D64" s="15" t="n">
        <v>127.646</v>
      </c>
      <c r="E64" s="15" t="n">
        <v>127.646</v>
      </c>
      <c r="F64" s="15" t="n">
        <v>0</v>
      </c>
      <c r="G64" s="20" t="n">
        <v>0.0004123099115675218</v>
      </c>
      <c r="H64" s="16" t="inlineStr">
        <is>
          <t>Diferença preliminar; confirmar o pareamento e a origem da cota.</t>
        </is>
      </c>
    </row>
    <row r="65">
      <c r="B65" s="17" t="n">
        <v>147</v>
      </c>
      <c r="C65" s="17" t="n">
        <v>11</v>
      </c>
      <c r="D65" s="18" t="n">
        <v>154.215</v>
      </c>
      <c r="E65" s="18" t="n">
        <v>154.215</v>
      </c>
      <c r="F65" s="18" t="n">
        <v>0</v>
      </c>
      <c r="G65" s="21" t="n">
        <v>0.000500001013278962</v>
      </c>
      <c r="H65" s="19" t="inlineStr">
        <is>
          <t>Diferença preliminar; confirmar o pareamento e a origem da cota.</t>
        </is>
      </c>
    </row>
    <row r="66">
      <c r="B66" s="14" t="n">
        <v>148</v>
      </c>
      <c r="C66" s="14" t="n">
        <v>12</v>
      </c>
      <c r="D66" s="15" t="n">
        <v>153.605</v>
      </c>
      <c r="E66" s="15" t="n">
        <v>153.605</v>
      </c>
      <c r="F66" s="15" t="n">
        <v>0</v>
      </c>
      <c r="G66" s="20" t="n">
        <v>0.0005385156848159556</v>
      </c>
      <c r="H66" s="16" t="inlineStr">
        <is>
          <t>Diferença preliminar; confirmar o pareamento e a origem da cota.</t>
        </is>
      </c>
    </row>
    <row r="67">
      <c r="B67" s="17" t="n">
        <v>149</v>
      </c>
      <c r="C67" s="17" t="n">
        <v>13</v>
      </c>
      <c r="D67" s="18" t="n">
        <v>152.93</v>
      </c>
      <c r="E67" s="18" t="n">
        <v>152.93</v>
      </c>
      <c r="F67" s="18" t="n">
        <v>0</v>
      </c>
      <c r="G67" s="21" t="n">
        <v>0.0006403131904880963</v>
      </c>
      <c r="H67" s="19" t="inlineStr">
        <is>
          <t>Diferença preliminar; confirmar o pareamento e a origem da cota.</t>
        </is>
      </c>
    </row>
    <row r="68">
      <c r="B68" s="14" t="n">
        <v>150</v>
      </c>
      <c r="C68" s="14" t="n">
        <v>14</v>
      </c>
      <c r="D68" s="15" t="n">
        <v>152.37</v>
      </c>
      <c r="E68" s="15" t="n">
        <v>152.37</v>
      </c>
      <c r="F68" s="15" t="n">
        <v>0</v>
      </c>
      <c r="G68" s="20" t="n">
        <v>0.0002236067302770145</v>
      </c>
      <c r="H68" s="16" t="inlineStr">
        <is>
          <t>Diferença preliminar; confirmar o pareamento e a origem da cota.</t>
        </is>
      </c>
    </row>
    <row r="69">
      <c r="B69" s="17" t="n">
        <v>151</v>
      </c>
      <c r="C69" s="17" t="n">
        <v>1</v>
      </c>
      <c r="D69" s="18" t="n">
        <v>157.65</v>
      </c>
      <c r="E69" s="18" t="n">
        <v>157.65</v>
      </c>
      <c r="F69" s="18" t="n">
        <v>0</v>
      </c>
      <c r="G69" s="21" t="n">
        <v>0</v>
      </c>
      <c r="H69" s="19" t="inlineStr">
        <is>
          <t>Diferença preliminar; confirmar o pareamento e a origem da cota.</t>
        </is>
      </c>
    </row>
    <row r="70">
      <c r="B70" s="14" t="n">
        <v>152</v>
      </c>
      <c r="C70" s="14" t="n">
        <v>2</v>
      </c>
      <c r="D70" s="15" t="n">
        <v>157.635</v>
      </c>
      <c r="E70" s="15" t="n">
        <v>157.635</v>
      </c>
      <c r="F70" s="15" t="n">
        <v>0</v>
      </c>
      <c r="G70" s="20" t="n">
        <v>0.0006324554240221944</v>
      </c>
      <c r="H70" s="16" t="inlineStr">
        <is>
          <t>Diferença preliminar; confirmar o pareamento e a origem da cota.</t>
        </is>
      </c>
    </row>
    <row r="71">
      <c r="B71" s="17" t="n">
        <v>153</v>
      </c>
      <c r="C71" s="17" t="n">
        <v>3</v>
      </c>
      <c r="D71" s="18" t="n">
        <v>157.4</v>
      </c>
      <c r="E71" s="18" t="n">
        <v>157.4</v>
      </c>
      <c r="F71" s="18" t="n">
        <v>0</v>
      </c>
      <c r="G71" s="21" t="n">
        <v>0.0004123098974500671</v>
      </c>
      <c r="H71" s="19" t="inlineStr">
        <is>
          <t>Diferença preliminar; confirmar o pareamento e a origem da cota.</t>
        </is>
      </c>
    </row>
    <row r="72">
      <c r="B72" s="14" t="n">
        <v>154</v>
      </c>
      <c r="C72" s="14" t="n">
        <v>4</v>
      </c>
      <c r="D72" s="15" t="n">
        <v>157.156</v>
      </c>
      <c r="E72" s="15" t="n">
        <v>157.156</v>
      </c>
      <c r="F72" s="15" t="n">
        <v>0</v>
      </c>
      <c r="G72" s="20" t="n">
        <v>0.0007211098534585935</v>
      </c>
      <c r="H72" s="16" t="inlineStr">
        <is>
          <t>Diferença preliminar; confirmar o pareamento e a origem da cota.</t>
        </is>
      </c>
    </row>
    <row r="73">
      <c r="B73" s="17" t="n">
        <v>155</v>
      </c>
      <c r="C73" s="17" t="n">
        <v>5</v>
      </c>
      <c r="D73" s="18" t="n">
        <v>156.92</v>
      </c>
      <c r="E73" s="18" t="n">
        <v>156.92</v>
      </c>
      <c r="F73" s="18" t="n">
        <v>0</v>
      </c>
      <c r="G73" s="21" t="n">
        <v>0.0005385170143113909</v>
      </c>
      <c r="H73" s="19" t="inlineStr">
        <is>
          <t>Diferença preliminar; confirmar o pareamento e a origem da cota.</t>
        </is>
      </c>
    </row>
    <row r="74">
      <c r="B74" s="14" t="n">
        <v>156</v>
      </c>
      <c r="C74" s="14" t="n">
        <v>6</v>
      </c>
      <c r="D74" s="15" t="n">
        <v>156.647</v>
      </c>
      <c r="E74" s="15" t="n">
        <v>156.6467</v>
      </c>
      <c r="F74" s="15" t="n">
        <v>-0.0002999999999815373</v>
      </c>
      <c r="G74" s="20" t="n">
        <v>0.0005830960507216895</v>
      </c>
      <c r="H74" s="16" t="inlineStr">
        <is>
          <t>Diferença preliminar; confirmar o pareamento e a origem da cota.</t>
        </is>
      </c>
    </row>
    <row r="75">
      <c r="B75" s="17" t="n">
        <v>157</v>
      </c>
      <c r="C75" s="17" t="n">
        <v>7</v>
      </c>
      <c r="D75" s="18" t="n">
        <v>156.245</v>
      </c>
      <c r="E75" s="18" t="n">
        <v>156.245</v>
      </c>
      <c r="F75" s="18" t="n">
        <v>0</v>
      </c>
      <c r="G75" s="21" t="n">
        <v>0.0003162272748477201</v>
      </c>
      <c r="H75" s="19" t="inlineStr">
        <is>
          <t>Diferença preliminar; confirmar o pareamento e a origem da cota.</t>
        </is>
      </c>
    </row>
    <row r="76">
      <c r="B76" s="14" t="n">
        <v>158</v>
      </c>
      <c r="C76" s="14" t="n">
        <v>8</v>
      </c>
      <c r="D76" s="15" t="n">
        <v>155.957</v>
      </c>
      <c r="E76" s="15" t="n">
        <v>155.9567</v>
      </c>
      <c r="F76" s="15" t="n">
        <v>-0.0002999999999815373</v>
      </c>
      <c r="G76" s="20" t="n">
        <v>0.0002828437754663396</v>
      </c>
      <c r="H76" s="16" t="inlineStr">
        <is>
          <t>Diferença preliminar; confirmar o pareamento e a origem da cota.</t>
        </is>
      </c>
    </row>
    <row r="77">
      <c r="B77" s="17" t="n">
        <v>159</v>
      </c>
      <c r="C77" s="17" t="n">
        <v>9</v>
      </c>
      <c r="D77" s="18" t="n">
        <v>155.425</v>
      </c>
      <c r="E77" s="18" t="n">
        <v>155.425</v>
      </c>
      <c r="F77" s="18" t="n">
        <v>0</v>
      </c>
      <c r="G77" s="21" t="n">
        <v>0.0003605549267292967</v>
      </c>
      <c r="H77" s="19" t="inlineStr">
        <is>
          <t>Diferença preliminar; confirmar o pareamento e a origem da cota.</t>
        </is>
      </c>
    </row>
    <row r="78">
      <c r="B78" s="14" t="n">
        <v>160</v>
      </c>
      <c r="C78" s="14" t="n">
        <v>10</v>
      </c>
      <c r="D78" s="15" t="n">
        <v>154.83</v>
      </c>
      <c r="E78" s="15" t="n">
        <v>154.83</v>
      </c>
      <c r="F78" s="15" t="n">
        <v>0</v>
      </c>
      <c r="G78" s="20" t="n">
        <v>0.0005830944535165607</v>
      </c>
      <c r="H78" s="16" t="inlineStr">
        <is>
          <t>Diferença preliminar; confirmar o pareamento e a origem da cota.</t>
        </is>
      </c>
    </row>
    <row r="79">
      <c r="B79" s="17" t="n">
        <v>161</v>
      </c>
      <c r="C79" s="17" t="n">
        <v>65</v>
      </c>
      <c r="D79" s="18" t="n">
        <v>127.29</v>
      </c>
      <c r="E79" s="18" t="n">
        <v>127.29</v>
      </c>
      <c r="F79" s="18" t="n">
        <v>0</v>
      </c>
      <c r="G79" s="21" t="n">
        <v>0.000499999150633812</v>
      </c>
      <c r="H79" s="19" t="inlineStr">
        <is>
          <t>Diferença preliminar; confirmar o pareamento e a origem da cota.</t>
        </is>
      </c>
    </row>
    <row r="80">
      <c r="B80" s="14" t="n">
        <v>162</v>
      </c>
      <c r="C80" s="14" t="n">
        <v>69</v>
      </c>
      <c r="D80" s="15" t="n">
        <v>126.444</v>
      </c>
      <c r="E80" s="15" t="n">
        <v>126.444</v>
      </c>
      <c r="F80" s="15" t="n">
        <v>0</v>
      </c>
      <c r="G80" s="20" t="n">
        <v>9.99979674816174e-05</v>
      </c>
      <c r="H80" s="16" t="inlineStr">
        <is>
          <t>Diferença preliminar; confirmar o pareamento e a origem da cota.</t>
        </is>
      </c>
    </row>
    <row r="81">
      <c r="B81" s="17" t="n">
        <v>163</v>
      </c>
      <c r="C81" s="17" t="n">
        <v>70</v>
      </c>
      <c r="D81" s="18" t="n">
        <v>126.4</v>
      </c>
      <c r="E81" s="18" t="n">
        <v>126.4</v>
      </c>
      <c r="F81" s="18" t="n">
        <v>0</v>
      </c>
      <c r="G81" s="21" t="n">
        <v>0.0002236064959956986</v>
      </c>
      <c r="H81" s="19" t="inlineStr">
        <is>
          <t>Diferença preliminar; confirmar o pareamento e a origem da cota.</t>
        </is>
      </c>
    </row>
    <row r="82">
      <c r="B82" s="14" t="n">
        <v>164</v>
      </c>
      <c r="C82" s="14" t="n">
        <v>66</v>
      </c>
      <c r="D82" s="15" t="n">
        <v>126.98</v>
      </c>
      <c r="E82" s="15" t="n">
        <v>126.98</v>
      </c>
      <c r="F82" s="15" t="n">
        <v>0</v>
      </c>
      <c r="G82" s="20" t="n">
        <v>0.0004123098974500671</v>
      </c>
      <c r="H82" s="16" t="inlineStr">
        <is>
          <t>Diferença preliminar; confirmar o pareamento e a origem da cota.</t>
        </is>
      </c>
    </row>
    <row r="83">
      <c r="B83" s="17" t="n">
        <v>165</v>
      </c>
      <c r="C83" s="17" t="n">
        <v>67</v>
      </c>
      <c r="D83" s="18" t="n">
        <v>126.67</v>
      </c>
      <c r="E83" s="18" t="n">
        <v>126.67</v>
      </c>
      <c r="F83" s="18" t="n">
        <v>0</v>
      </c>
      <c r="G83" s="21" t="n">
        <v>0.0003605546926427339</v>
      </c>
      <c r="H83" s="19" t="inlineStr">
        <is>
          <t>Diferença preliminar; confirmar o pareamento e a origem da cota.</t>
        </is>
      </c>
    </row>
    <row r="84">
      <c r="B84" s="14" t="n">
        <v>166</v>
      </c>
      <c r="C84" s="14" t="n">
        <v>68</v>
      </c>
      <c r="D84" s="15" t="n">
        <v>126.583</v>
      </c>
      <c r="E84" s="15" t="n">
        <v>126.5825</v>
      </c>
      <c r="F84" s="15" t="n">
        <v>-0.0005000000000023874</v>
      </c>
      <c r="G84" s="20" t="n">
        <v>0.0001414212188978898</v>
      </c>
      <c r="H84" s="16" t="inlineStr">
        <is>
          <t>Diferença preliminar; confirmar o pareamento e a origem da cota.</t>
        </is>
      </c>
    </row>
    <row r="86">
      <c r="B86" s="5" t="inlineStr">
        <is>
          <t>Resumo</t>
        </is>
      </c>
      <c r="C86" s="5" t="inlineStr">
        <is>
          <t>Média ΔZ (m)</t>
        </is>
      </c>
      <c r="D86" s="25" t="n">
        <v>-8.227848101251144e-05</v>
      </c>
      <c r="E86" s="5" t="inlineStr">
        <is>
          <t>Desvio-padrão (m)</t>
        </is>
      </c>
      <c r="F86" s="25" t="n">
        <v>0.0001860716437975086</v>
      </c>
      <c r="G86" s="5" t="inlineStr">
        <is>
          <t>Máx. abs. ΔZ (m)</t>
        </is>
      </c>
      <c r="H86" s="25" t="n">
        <v>0.0005000000000165983</v>
      </c>
    </row>
  </sheetData>
  <autoFilter ref="B6:H84"/>
  <mergeCells count="2">
    <mergeCell ref="B3:H3"/>
    <mergeCell ref="B2:H2"/>
  </mergeCells>
  <pageMargins left="0.75" right="0.75" top="1" bottom="1" header="0.5" footer="0.5"/>
  <pageSetup fitToHeight="0" fitToWidth="1"/>
  <headerFooter>
    <oddHeader/>
    <oddFooter>&amp;CExercício de Perfis Topográficos · UFPE / LABAT&amp;RPágina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2026-09-03T21:32:24Z</dcterms:created>
  <dcterms:modified xmlns:dcterms="http://purl.org/dc/terms/" xmlns:xsi="http://www.w3.org/2001/XMLSchema-instance" xsi:type="dcterms:W3CDTF">2026-09-03T21:32:25Z</dcterms:modified>
</cp:coreProperties>
</file>